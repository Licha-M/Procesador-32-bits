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Yo\Escritorio\Procesador-32-bits\"/>
    </mc:Choice>
  </mc:AlternateContent>
  <xr:revisionPtr revIDLastSave="0" documentId="13_ncr:1_{11E1875F-F608-4B78-A33B-6FABBF1EC8CF}" xr6:coauthVersionLast="47" xr6:coauthVersionMax="47" xr10:uidLastSave="{00000000-0000-0000-0000-000000000000}"/>
  <bookViews>
    <workbookView xWindow="-120" yWindow="-120" windowWidth="20730" windowHeight="11040" tabRatio="597" activeTab="2" xr2:uid="{00000000-000D-0000-FFFF-FFFF00000000}"/>
  </bookViews>
  <sheets>
    <sheet name="CPU" sheetId="1" r:id="rId1"/>
    <sheet name="MMIO" sheetId="2" r:id="rId2"/>
    <sheet name="Perif Co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 a="1"/>
  <c r="H7" i="2"/>
  <c r="H8" i="2"/>
  <c r="F30" i="1"/>
  <c r="E30" i="1"/>
  <c r="D30" i="1"/>
  <c r="C30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<sst xmlns="http://schemas.openxmlformats.org/spreadsheetml/2006/main" count="738" uniqueCount="466">
  <si>
    <t>OpCode</t>
  </si>
  <si>
    <t>Tipo</t>
  </si>
  <si>
    <t>Byte 1</t>
  </si>
  <si>
    <t>Byte 2</t>
  </si>
  <si>
    <t>Byte 3</t>
  </si>
  <si>
    <t>Byte 4</t>
  </si>
  <si>
    <t>Notas</t>
  </si>
  <si>
    <t>Instr</t>
  </si>
  <si>
    <t>Flags</t>
  </si>
  <si>
    <t>NOP</t>
  </si>
  <si>
    <t>HLT</t>
  </si>
  <si>
    <t>Kernel</t>
  </si>
  <si>
    <t>ADD</t>
  </si>
  <si>
    <t>SUB</t>
  </si>
  <si>
    <t>NOR</t>
  </si>
  <si>
    <t>AND</t>
  </si>
  <si>
    <t>XOR</t>
  </si>
  <si>
    <t>RSH</t>
  </si>
  <si>
    <t>LSH</t>
  </si>
  <si>
    <t>LDI</t>
  </si>
  <si>
    <t>ADI</t>
  </si>
  <si>
    <t>JMP</t>
  </si>
  <si>
    <t>BRH</t>
  </si>
  <si>
    <t>CAL</t>
  </si>
  <si>
    <t>RET</t>
  </si>
  <si>
    <t>LOD</t>
  </si>
  <si>
    <t>STR</t>
  </si>
  <si>
    <t>REG A</t>
  </si>
  <si>
    <t>REG B</t>
  </si>
  <si>
    <t>REG C</t>
  </si>
  <si>
    <t>Cond</t>
  </si>
  <si>
    <t>3-0</t>
  </si>
  <si>
    <t>7-4</t>
  </si>
  <si>
    <t>11-8</t>
  </si>
  <si>
    <t>15-12</t>
  </si>
  <si>
    <t>19-16</t>
  </si>
  <si>
    <t>23-20</t>
  </si>
  <si>
    <t>Operandos</t>
  </si>
  <si>
    <t>CYE</t>
  </si>
  <si>
    <t>CYR</t>
  </si>
  <si>
    <t>Mueve un Registro especial a uno normal</t>
  </si>
  <si>
    <t>Mueve un Registro normal a uno especial</t>
  </si>
  <si>
    <t>REG E</t>
  </si>
  <si>
    <t>SCL</t>
  </si>
  <si>
    <t>SRT</t>
  </si>
  <si>
    <t>Llama al SO</t>
  </si>
  <si>
    <t>MUL</t>
  </si>
  <si>
    <t>DIV</t>
  </si>
  <si>
    <t>GOF</t>
  </si>
  <si>
    <t>Operación nula, no hace nada</t>
  </si>
  <si>
    <t>Suma A mas B y guarda en C</t>
  </si>
  <si>
    <t>Resta A menos B y guarda en C</t>
  </si>
  <si>
    <t>Multiplica A por B y guarda en C</t>
  </si>
  <si>
    <t>Divide A entre B y guarda en C</t>
  </si>
  <si>
    <t>Realiza la operación NOR con A, B y guarda en C</t>
  </si>
  <si>
    <t>Realiza la operación AND con A, B y guarda en C</t>
  </si>
  <si>
    <t>Realiza la operación XOR con A, B y guarda en C</t>
  </si>
  <si>
    <t>Suma un valor inmediato a A</t>
  </si>
  <si>
    <t>Llama a un punto del programa</t>
  </si>
  <si>
    <t>Vuelve del punto anterior + 1</t>
  </si>
  <si>
    <t>Guarda un valor inmediato en A</t>
  </si>
  <si>
    <t>Control</t>
  </si>
  <si>
    <t>Intr</t>
  </si>
  <si>
    <t>Overflow</t>
  </si>
  <si>
    <t>Inmediato</t>
  </si>
  <si>
    <t>En Branch</t>
  </si>
  <si>
    <t>En REG</t>
  </si>
  <si>
    <t>En REGE</t>
  </si>
  <si>
    <t>RoW</t>
  </si>
  <si>
    <t>00</t>
  </si>
  <si>
    <t>8-7</t>
  </si>
  <si>
    <t>MEM/REG</t>
  </si>
  <si>
    <t>Inmediato &lt;= 16bits</t>
  </si>
  <si>
    <t>Offset &lt;= 16bits</t>
  </si>
  <si>
    <t>28-24</t>
  </si>
  <si>
    <t>31-29</t>
  </si>
  <si>
    <t>Instrucciones</t>
  </si>
  <si>
    <t>Mueve un Dato del Registro B a RAM</t>
  </si>
  <si>
    <t>Mueve un Dato de RAM al Registro B</t>
  </si>
  <si>
    <t>14-13</t>
  </si>
  <si>
    <t>Control Bits</t>
  </si>
  <si>
    <t>No RAM</t>
  </si>
  <si>
    <t>Lectura</t>
  </si>
  <si>
    <t>Escritura</t>
  </si>
  <si>
    <t>New SP</t>
  </si>
  <si>
    <t>No Write</t>
  </si>
  <si>
    <t>Viene de ALU</t>
  </si>
  <si>
    <t>Viene de RAM</t>
  </si>
  <si>
    <t>10</t>
  </si>
  <si>
    <t>01</t>
  </si>
  <si>
    <t>11</t>
  </si>
  <si>
    <t>Normal</t>
  </si>
  <si>
    <t>Especial</t>
  </si>
  <si>
    <t>Motivo de la llamada y Resultado</t>
  </si>
  <si>
    <t>Posible puntero (Opcional)</t>
  </si>
  <si>
    <t>Registros durante Syscall</t>
  </si>
  <si>
    <t>EPC</t>
  </si>
  <si>
    <t>PCID</t>
  </si>
  <si>
    <t>CR3</t>
  </si>
  <si>
    <t>CR2</t>
  </si>
  <si>
    <t>Funcionamiento</t>
  </si>
  <si>
    <t>Nomenclatura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</si>
  <si>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</si>
  <si>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</si>
  <si>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</si>
  <si>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</si>
  <si>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</si>
  <si>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</si>
  <si>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</si>
  <si>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</si>
  <si>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</si>
  <si>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</si>
  <si>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</si>
  <si>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</si>
  <si>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</si>
  <si>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</si>
  <si>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</si>
  <si>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</si>
  <si>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ID de programa</t>
  </si>
  <si>
    <t>Base de la tabla de direcciones</t>
  </si>
  <si>
    <t>0</t>
  </si>
  <si>
    <t>Uso general (No ABI)</t>
  </si>
  <si>
    <t>Registros de estado para la ALU</t>
  </si>
  <si>
    <t>Eflags</t>
  </si>
  <si>
    <t>RE0</t>
  </si>
  <si>
    <t>Carry guardado de la operación anterior</t>
  </si>
  <si>
    <t>Carry</t>
  </si>
  <si>
    <t>A==E</t>
  </si>
  <si>
    <t>Lugar de regreso para el SRT</t>
  </si>
  <si>
    <t>TR</t>
  </si>
  <si>
    <t>RegE Kernel</t>
  </si>
  <si>
    <t>X</t>
  </si>
  <si>
    <t>Señal</t>
  </si>
  <si>
    <t>Significado</t>
  </si>
  <si>
    <t>OverFlow</t>
  </si>
  <si>
    <t>EnBranch</t>
  </si>
  <si>
    <t>EnREG</t>
  </si>
  <si>
    <t>EnREGE</t>
  </si>
  <si>
    <t xml:space="preserve">Habilita la lectura del Carry guardado por la operación anterior </t>
  </si>
  <si>
    <t xml:space="preserve">Habilita el uso de valores inmediatos </t>
  </si>
  <si>
    <t>Habilita el guardado de la comparación o el uso de flags</t>
  </si>
  <si>
    <t>Activa el subsistema o la secuencia de pasos que permiten los saltos</t>
  </si>
  <si>
    <t>Habilita el salto incondicional</t>
  </si>
  <si>
    <t>Habilita el salto condicional, esta señal se compara con la salida del Branch Unit</t>
  </si>
  <si>
    <t>Esta señal dicta como debe actuar la RAM ante un pedido de datos</t>
  </si>
  <si>
    <t>Habilita el guardado en registros normales</t>
  </si>
  <si>
    <t>Habilita el guardado en registros especiales</t>
  </si>
  <si>
    <t xml:space="preserve">Hace que el operando A sea igual al registro especial pedido </t>
  </si>
  <si>
    <t>CR0</t>
  </si>
  <si>
    <t>Control de MMU</t>
  </si>
  <si>
    <t>En_MMU</t>
  </si>
  <si>
    <t>En_TLB</t>
  </si>
  <si>
    <t>Nota: Dentro de ALU/Branch Unit</t>
  </si>
  <si>
    <t>Nota: Dentro de MMU</t>
  </si>
  <si>
    <t>Vectores de IDT</t>
  </si>
  <si>
    <t>Descripción</t>
  </si>
  <si>
    <t>Nombre</t>
  </si>
  <si>
    <t>Invalid Opcode</t>
  </si>
  <si>
    <t>Double Fault</t>
  </si>
  <si>
    <t>Error lanzado cuando una instrucción privilegiada se intenta usar sin permisos</t>
  </si>
  <si>
    <t>Error lanzado cuando no se reconoce la instrucción utilizada</t>
  </si>
  <si>
    <t>Error lanzado cuando el procesador estaba resolviendo un fault y ocurre otro</t>
  </si>
  <si>
    <t>SyS-JMP</t>
  </si>
  <si>
    <t>Se activa cuando se requiere llamar al kernel, o regresar del kernel</t>
  </si>
  <si>
    <t>Alignment Fault</t>
  </si>
  <si>
    <t>Flags de paginas</t>
  </si>
  <si>
    <t>Present</t>
  </si>
  <si>
    <t>ReadOnly</t>
  </si>
  <si>
    <t>KernelOnly</t>
  </si>
  <si>
    <t>Global</t>
  </si>
  <si>
    <t xml:space="preserve">No Excepción </t>
  </si>
  <si>
    <t>Dirección Base ECAM + (Bus &lt;&lt; 20) + (Device_X &lt;&lt; 15) + (Function_0 &lt;&lt; 12)</t>
  </si>
  <si>
    <t>ECAM</t>
  </si>
  <si>
    <t>Bus</t>
  </si>
  <si>
    <t>Device</t>
  </si>
  <si>
    <t>Function</t>
  </si>
  <si>
    <t>E0000000</t>
  </si>
  <si>
    <t>Res Max</t>
  </si>
  <si>
    <t>Base Class (Hex)</t>
  </si>
  <si>
    <t>Familia Principal</t>
  </si>
  <si>
    <t>Sub-Class (Hex)</t>
  </si>
  <si>
    <t>Dispositivo Específico</t>
  </si>
  <si>
    <t>Prog IF de ejemplo (Hex)</t>
  </si>
  <si>
    <t>0x01</t>
  </si>
  <si>
    <t>Controladores de Almacenamiento</t>
  </si>
  <si>
    <t>IDE Controller</t>
  </si>
  <si>
    <r>
      <t>0x8A</t>
    </r>
    <r>
      <rPr>
        <sz val="11"/>
        <color rgb="FF1F1F1F"/>
        <rFont val="Arial"/>
        <family val="2"/>
      </rPr>
      <t xml:space="preserve"> (Bus Master)</t>
    </r>
  </si>
  <si>
    <t>0x06</t>
  </si>
  <si>
    <t>SATA Controller</t>
  </si>
  <si>
    <r>
      <t>0x01</t>
    </r>
    <r>
      <rPr>
        <sz val="11"/>
        <color rgb="FF1F1F1F"/>
        <rFont val="Arial"/>
        <family val="2"/>
      </rPr>
      <t xml:space="preserve"> (AHCI)</t>
    </r>
  </si>
  <si>
    <t>0x08</t>
  </si>
  <si>
    <t>NVMe (Memoria No Volátil)</t>
  </si>
  <si>
    <r>
      <t>0x02</t>
    </r>
    <r>
      <rPr>
        <sz val="11"/>
        <color rgb="FF1F1F1F"/>
        <rFont val="Arial"/>
        <family val="2"/>
      </rPr>
      <t xml:space="preserve"> (NVM Express)</t>
    </r>
  </si>
  <si>
    <t>0x02</t>
  </si>
  <si>
    <t>Controladores de Red</t>
  </si>
  <si>
    <t>0x00</t>
  </si>
  <si>
    <t>Ethernet Controller</t>
  </si>
  <si>
    <t>0x80</t>
  </si>
  <si>
    <t>Network Controller (Otros/Wi-Fi)</t>
  </si>
  <si>
    <t>0x03</t>
  </si>
  <si>
    <t>Controladores de Pantalla</t>
  </si>
  <si>
    <t>VGA Compatible (Tu GPU)</t>
  </si>
  <si>
    <r>
      <t>0x00</t>
    </r>
    <r>
      <rPr>
        <sz val="11"/>
        <color rgb="FF1F1F1F"/>
        <rFont val="Arial"/>
        <family val="2"/>
      </rPr>
      <t xml:space="preserve"> (VGA estándar)</t>
    </r>
  </si>
  <si>
    <t>Controlador 3D (No VGA)</t>
  </si>
  <si>
    <t>0x04</t>
  </si>
  <si>
    <t>Controladores Multimedia</t>
  </si>
  <si>
    <t>Audio Device</t>
  </si>
  <si>
    <t>Dispositivo de Audio HD (Intel HDA)</t>
  </si>
  <si>
    <t>0x05</t>
  </si>
  <si>
    <t>Controladores de Memoria</t>
  </si>
  <si>
    <t>RAM</t>
  </si>
  <si>
    <t>Puentes (Bridges)</t>
  </si>
  <si>
    <t>Host Bridge (El Root Complex real)</t>
  </si>
  <si>
    <t>PCI-to-PCI Bridge (Tu Switch)</t>
  </si>
  <si>
    <r>
      <t>0x00</t>
    </r>
    <r>
      <rPr>
        <sz val="11"/>
        <color rgb="FF1F1F1F"/>
        <rFont val="Arial"/>
        <family val="2"/>
      </rPr>
      <t xml:space="preserve"> (Modo normal) o </t>
    </r>
    <r>
      <rPr>
        <sz val="11"/>
        <color rgb="FF1F1F1F"/>
        <rFont val="Google Sans Text"/>
        <family val="2"/>
      </rPr>
      <t>0x01</t>
    </r>
    <r>
      <rPr>
        <sz val="11"/>
        <color rgb="FF1F1F1F"/>
        <rFont val="Arial"/>
        <family val="2"/>
      </rPr>
      <t xml:space="preserve"> (Sustractivo)</t>
    </r>
  </si>
  <si>
    <t>0x0C</t>
  </si>
  <si>
    <t>Buses Serie</t>
  </si>
  <si>
    <t>USB Controller</t>
  </si>
  <si>
    <r>
      <t>0x20</t>
    </r>
    <r>
      <rPr>
        <sz val="11"/>
        <color rgb="FF1F1F1F"/>
        <rFont val="Arial"/>
        <family val="2"/>
      </rPr>
      <t xml:space="preserve"> (EHCI/USB 2.0) o </t>
    </r>
    <r>
      <rPr>
        <sz val="11"/>
        <color rgb="FF1F1F1F"/>
        <rFont val="Google Sans Text"/>
        <family val="2"/>
      </rPr>
      <t>0x30</t>
    </r>
    <r>
      <rPr>
        <sz val="11"/>
        <color rgb="FF1F1F1F"/>
        <rFont val="Arial"/>
        <family val="2"/>
      </rPr>
      <t xml:space="preserve"> (xHCI/USB 3.0)</t>
    </r>
  </si>
  <si>
    <t>SMBus (Sensores de placa base)</t>
  </si>
  <si>
    <t>Revision ID &amp; Class Code</t>
  </si>
  <si>
    <t>00-00-00-00</t>
  </si>
  <si>
    <t xml:space="preserve">Res </t>
  </si>
  <si>
    <t>Offset</t>
  </si>
  <si>
    <t>Tamaño</t>
  </si>
  <si>
    <t>Nombre del Registro</t>
  </si>
  <si>
    <t>Explicación</t>
  </si>
  <si>
    <t>4 Bytes</t>
  </si>
  <si>
    <t>0x10</t>
  </si>
  <si>
    <t>0x14</t>
  </si>
  <si>
    <t>0x18</t>
  </si>
  <si>
    <t>0x1C</t>
  </si>
  <si>
    <t>0x20</t>
  </si>
  <si>
    <t>Expansion ROM Base Address</t>
  </si>
  <si>
    <t>Capabilities Pointer</t>
  </si>
  <si>
    <t>BAR 0</t>
  </si>
  <si>
    <t>Le dice al Sistema Operativo qué es</t>
  </si>
  <si>
    <t>Tipo 0 Dispositivos Finales</t>
  </si>
  <si>
    <t>Registro base para asignar memoria</t>
  </si>
  <si>
    <t>Dirección de la BIOS  de la tarjeta para inicializarla.</t>
  </si>
  <si>
    <t>Apunta (offset) a una lista enlazada de características extra</t>
  </si>
  <si>
    <t>Offset (Desde el inicio del bloque)</t>
  </si>
  <si>
    <t>+ 0x00</t>
  </si>
  <si>
    <t>1 Byte</t>
  </si>
  <si>
    <t>Capability ID</t>
  </si>
  <si>
    <r>
      <t xml:space="preserve">Siempre vale </t>
    </r>
    <r>
      <rPr>
        <sz val="11"/>
        <color rgb="FF1F1F1F"/>
        <rFont val="Google Sans Text"/>
        <family val="2"/>
      </rPr>
      <t>0x05</t>
    </r>
    <r>
      <rPr>
        <sz val="11"/>
        <color rgb="FF1F1F1F"/>
        <rFont val="Arial"/>
        <family val="2"/>
      </rPr>
      <t>. Identifica que este bloque es de MSI.</t>
    </r>
  </si>
  <si>
    <t>+ 0x01</t>
  </si>
  <si>
    <t>Next Pointer</t>
  </si>
  <si>
    <r>
      <t xml:space="preserve">Offset al siguiente Capability (o </t>
    </r>
    <r>
      <rPr>
        <sz val="11"/>
        <color rgb="FF1F1F1F"/>
        <rFont val="Google Sans Text"/>
        <family val="2"/>
      </rPr>
      <t>0x00</t>
    </r>
    <r>
      <rPr>
        <sz val="11"/>
        <color rgb="FF1F1F1F"/>
        <rFont val="Arial"/>
        <family val="2"/>
      </rPr>
      <t xml:space="preserve"> si es el último).</t>
    </r>
  </si>
  <si>
    <t>+ 0x02</t>
  </si>
  <si>
    <t>2 Bytes</t>
  </si>
  <si>
    <t>Message Control</t>
  </si>
  <si>
    <t>Registro para que el S.O. habilite o deshabilite MSI. También dice cuántos vectores de interrupción distintos puede manejar este dispositivo.</t>
  </si>
  <si>
    <t>+ 0x04</t>
  </si>
  <si>
    <t>Message Address</t>
  </si>
  <si>
    <r>
      <t>Dirección Destino:</t>
    </r>
    <r>
      <rPr>
        <sz val="11"/>
        <color rgb="FF1F1F1F"/>
        <rFont val="Arial"/>
        <family val="2"/>
      </rPr>
      <t xml:space="preserve"> Aquí el S.O. escribe la dirección MMIO del controlador de interrupciones (LAPIC).</t>
    </r>
  </si>
  <si>
    <t>+ 0x08</t>
  </si>
  <si>
    <t>Message Data</t>
  </si>
  <si>
    <r>
      <t>El Mensaje:</t>
    </r>
    <r>
      <rPr>
        <sz val="11"/>
        <color rgb="FF1F1F1F"/>
        <rFont val="Arial"/>
        <family val="2"/>
      </rPr>
      <t xml:space="preserve"> Aquí el S.O. escribe el número de vector de interrupción (el ID de la interrupción).</t>
    </r>
  </si>
  <si>
    <t>Estructura MSI (Capabilities Pointer)</t>
  </si>
  <si>
    <t>Tipo 1 Switches</t>
  </si>
  <si>
    <r>
      <t>M-Limit</t>
    </r>
    <r>
      <rPr>
        <sz val="11"/>
        <color rgb="FF1F1F1F"/>
        <rFont val="Arial"/>
        <family val="2"/>
      </rPr>
      <t xml:space="preserve"> (2B) &amp; </t>
    </r>
    <r>
      <rPr>
        <b/>
        <sz val="11"/>
        <color rgb="FF1F1F1F"/>
        <rFont val="Arial"/>
        <family val="2"/>
      </rPr>
      <t>M-Base</t>
    </r>
    <r>
      <rPr>
        <sz val="11"/>
        <color rgb="FF1F1F1F"/>
        <rFont val="Arial"/>
        <family val="2"/>
      </rPr>
      <t xml:space="preserve"> (2B)</t>
    </r>
  </si>
  <si>
    <t>Rango de memoria MMIO, un espacio por dispositivo</t>
  </si>
  <si>
    <r>
      <rPr>
        <sz val="11"/>
        <color rgb="FF1F1F1F"/>
        <rFont val="Google Sans Text"/>
        <family val="2"/>
      </rPr>
      <t>Primary</t>
    </r>
    <r>
      <rPr>
        <sz val="11"/>
        <color rgb="FF1F1F1F"/>
        <rFont val="Arial"/>
        <family val="2"/>
      </rPr>
      <t xml:space="preserve">: Bus que mira hacia el CPU. </t>
    </r>
    <r>
      <rPr>
        <sz val="11"/>
        <color rgb="FF1F1F1F"/>
        <rFont val="Google Sans Text"/>
        <family val="2"/>
      </rPr>
      <t>Secondary</t>
    </r>
    <r>
      <rPr>
        <sz val="11"/>
        <color rgb="FF1F1F1F"/>
        <rFont val="Arial"/>
        <family val="2"/>
      </rPr>
      <t xml:space="preserve">: Bus inmediatamente debajo. </t>
    </r>
    <r>
      <rPr>
        <sz val="11"/>
        <color rgb="FF1F1F1F"/>
        <rFont val="Google Sans Text"/>
        <family val="2"/>
      </rPr>
      <t>Subordinate</t>
    </r>
    <r>
      <rPr>
        <sz val="11"/>
        <color rgb="FF1F1F1F"/>
        <rFont val="Arial"/>
        <family val="2"/>
      </rPr>
      <t>: Bus más alto  debajo de este puerto.</t>
    </r>
  </si>
  <si>
    <t>0x24</t>
  </si>
  <si>
    <t>Notas:</t>
  </si>
  <si>
    <t>Bits para habilitar/deshabilitar características y Banderas de estado</t>
  </si>
  <si>
    <t>Vendor ID (2B) &amp; Device ID (2B)</t>
  </si>
  <si>
    <t xml:space="preserve">Command (2B) &amp; Status (2B) </t>
  </si>
  <si>
    <t xml:space="preserve">Indentificadores del dispositivo: Creador y dispositivo </t>
  </si>
  <si>
    <t>BAR 1</t>
  </si>
  <si>
    <t>BAR 2</t>
  </si>
  <si>
    <t>BAR 3</t>
  </si>
  <si>
    <r>
      <rPr>
        <sz val="11"/>
        <color rgb="FF1F1F1F"/>
        <rFont val="Google Sans Text"/>
        <family val="2"/>
      </rPr>
      <t>0x00</t>
    </r>
    <r>
      <rPr>
        <sz val="11"/>
        <color rgb="FF1F1F1F"/>
        <rFont val="Arial"/>
        <family val="2"/>
      </rPr>
      <t xml:space="preserve"> = dispositivo. </t>
    </r>
    <r>
      <rPr>
        <sz val="11"/>
        <color rgb="FF1F1F1F"/>
        <rFont val="Google Sans Text"/>
        <family val="2"/>
      </rPr>
      <t>0x01</t>
    </r>
    <r>
      <rPr>
        <sz val="11"/>
        <color rgb="FF1F1F1F"/>
        <rFont val="Arial"/>
        <family val="2"/>
      </rPr>
      <t xml:space="preserve"> = switch. Tambien indica si tiene multiples funciones</t>
    </r>
  </si>
  <si>
    <t>ECAM Comunes - Al inicio de cada función</t>
  </si>
  <si>
    <t>Header Type (1B)</t>
  </si>
  <si>
    <r>
      <t>Primary Bus - Subordinate Bus -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Secondary Bus - 0</t>
    </r>
  </si>
  <si>
    <t>int 32 / short 16 / char 8</t>
  </si>
  <si>
    <t>Bit 31 = Silent Instr</t>
  </si>
  <si>
    <t>Bit 31 = Alta/Baja</t>
  </si>
  <si>
    <t>PC 32</t>
  </si>
  <si>
    <t>Especial Flags</t>
  </si>
  <si>
    <t>Actual Mode</t>
  </si>
  <si>
    <t>Previous Mode</t>
  </si>
  <si>
    <t>En_INTs</t>
  </si>
  <si>
    <t>Previous En_INTs</t>
  </si>
  <si>
    <t>Page Fault</t>
  </si>
  <si>
    <t>Lanzada en el momento exacto en el que la MMU detecta un error</t>
  </si>
  <si>
    <t>IF</t>
  </si>
  <si>
    <t>Read Only</t>
  </si>
  <si>
    <t>Error Code CR0</t>
  </si>
  <si>
    <t>Flag de control, si es 1 el error fue en el pedido de instrucciones</t>
  </si>
  <si>
    <t>Not Present</t>
  </si>
  <si>
    <t>Bit 0 - Control</t>
  </si>
  <si>
    <t>Executable</t>
  </si>
  <si>
    <t>Flush TLBs</t>
  </si>
  <si>
    <t>En_LAPIC</t>
  </si>
  <si>
    <t>En_Perif_IRQs</t>
  </si>
  <si>
    <t>LAPIC Control</t>
  </si>
  <si>
    <t>Registros LAPIC</t>
  </si>
  <si>
    <t>Base Addr</t>
  </si>
  <si>
    <t>LAPIC_ID</t>
  </si>
  <si>
    <t>APIC_Config</t>
  </si>
  <si>
    <t>TPR</t>
  </si>
  <si>
    <t>Timer Config</t>
  </si>
  <si>
    <t>Timer Limit</t>
  </si>
  <si>
    <t>IRR (32 bits)</t>
  </si>
  <si>
    <t>ID de la unidad. Es modificable</t>
  </si>
  <si>
    <t>EOI</t>
  </si>
  <si>
    <t>Código para intento de ejecutar zona no ejecutable</t>
  </si>
  <si>
    <t>Observaciones</t>
  </si>
  <si>
    <t>Detiene al núcleo hasta recibir una interrupción o instrucción</t>
  </si>
  <si>
    <t>Shift lógico a la derecha de A por lo que dice B, guarda en C</t>
  </si>
  <si>
    <t>Shift lógico a la izquierda de A por lo que dice B, guarda en C</t>
  </si>
  <si>
    <t>Recibe el overflow o el carry de una operación anterior</t>
  </si>
  <si>
    <t>Salto incondicional al numero guardado en un registro</t>
  </si>
  <si>
    <t>Salto condicional al numero guardado en un registro</t>
  </si>
  <si>
    <t>Vuelve del SO a la dirección guardada en el EPC</t>
  </si>
  <si>
    <t>Parámetro 1</t>
  </si>
  <si>
    <t>Parámetro 2</t>
  </si>
  <si>
    <t>Parámetro 3</t>
  </si>
  <si>
    <t>Activa el subsistema que permite recuperar la dirección de la RAM</t>
  </si>
  <si>
    <t>Parámetro 4</t>
  </si>
  <si>
    <t>Dirección virtual fallida</t>
  </si>
  <si>
    <t>Congela el  núcleo hasta que allá  una interrupción</t>
  </si>
  <si>
    <t>Parámetro 5</t>
  </si>
  <si>
    <t>Causa de la excepción</t>
  </si>
  <si>
    <t>Cause</t>
  </si>
  <si>
    <t>Nota: Cause es el ID de la excepción, puede ser generado de manera asíncrona por cualquier subsistema</t>
  </si>
  <si>
    <t>Flags Especiales del Núcleo, como kernel previo o actual</t>
  </si>
  <si>
    <t>Determina de donde viene el dato para su posterior envió</t>
  </si>
  <si>
    <t>Dirección al TSS</t>
  </si>
  <si>
    <t>Nota: Dirección al TSS que contiene los SP que se usan para las distintas cosas, concretamente tiene la dirección del (RSP0=SP del kernel) y los distintos IST</t>
  </si>
  <si>
    <t>Dirección de salto automática para SCL</t>
  </si>
  <si>
    <t>Nota: AL inicio el LAPIC esta configurado en fee. Una vez haces una escritura en 00 de esa dirección, se setea la dirección base</t>
  </si>
  <si>
    <t>Uso único del kernel</t>
  </si>
  <si>
    <t>Nota: Estos registros son de uso único del kernel, son para no pisar datos en el guardado de contexto. El kernel debe copiar algunos registros aquí para luego hacer el guardado</t>
  </si>
  <si>
    <t>El tamaño del putero si es un array, se define en el primer espacio, el puntero apunta al tamaño del array</t>
  </si>
  <si>
    <t>Indica la dirección física donde empieza el LAPIC. Por defecto viene en fee</t>
  </si>
  <si>
    <t>Configuración de la unidad</t>
  </si>
  <si>
    <t>Nota: El bit "0" de la parte alta identifica si el error fue de IF o MEM, los códigos reales empiezan a partir del bit 1</t>
  </si>
  <si>
    <t>Usa los primeros 7 bits (6-0) para definir el valor mínimo de las IRQs que pasan</t>
  </si>
  <si>
    <t>Nota: El código de error especifico esta en la mitad alta de CR0</t>
  </si>
  <si>
    <t xml:space="preserve">Código para pagina no presente </t>
  </si>
  <si>
    <t>Se usa solo el bit de menor valor. Marca el fin de una interrupción</t>
  </si>
  <si>
    <t>Error de alineamiento en memoria, los accesos deben terminar en 00</t>
  </si>
  <si>
    <t>Privilege Violación</t>
  </si>
  <si>
    <t>Código para acceso restringido, solo permitido para el kernel</t>
  </si>
  <si>
    <t>Configuración del Timer. Se usa del 6-0 para marcar un numero de interrupción (0 por defecto) el bit numero 7 habilita el timer</t>
  </si>
  <si>
    <t>General Protección Fault</t>
  </si>
  <si>
    <t>Código para acceso restringido de solo lectura</t>
  </si>
  <si>
    <t>La cantidad de ciclos que el timer deberá contar ante de lanzar una IRQ. Se debe configurar este valor primero</t>
  </si>
  <si>
    <t>0x28</t>
  </si>
  <si>
    <t>SP: Punto del stack</t>
  </si>
  <si>
    <t>Undefined</t>
  </si>
  <si>
    <t>Componente</t>
  </si>
  <si>
    <t>Tipo de Nodo</t>
  </si>
  <si>
    <t>BDF</t>
  </si>
  <si>
    <t>Función / Dispositivo Conectado</t>
  </si>
  <si>
    <t>PUERTO RAÍZ 1</t>
  </si>
  <si>
    <t>Puerto/Bridge (RC)</t>
  </si>
  <si>
    <t>00:01.0</t>
  </si>
  <si>
    <r>
      <t>0xE0008000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0xE0008FFF</t>
    </r>
  </si>
  <si>
    <r>
      <t xml:space="preserve">Controla el </t>
    </r>
    <r>
      <rPr>
        <b/>
        <sz val="11"/>
        <color theme="1"/>
        <rFont val="Arial"/>
        <family val="2"/>
      </rPr>
      <t>Bus 1</t>
    </r>
    <r>
      <rPr>
        <sz val="11"/>
        <color theme="1"/>
        <rFont val="Arial"/>
        <family val="2"/>
      </rPr>
      <t>. Aquí se conectará la GPU.</t>
    </r>
  </si>
  <si>
    <r>
      <t xml:space="preserve">└─ </t>
    </r>
    <r>
      <rPr>
        <b/>
        <sz val="11"/>
        <color theme="1"/>
        <rFont val="Arial"/>
        <family val="2"/>
      </rPr>
      <t>GPU</t>
    </r>
  </si>
  <si>
    <t>Tarjeta (Endpoint)</t>
  </si>
  <si>
    <t>01:00.0</t>
  </si>
  <si>
    <r>
      <t>0xE0100000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0xE0100FFF</t>
    </r>
  </si>
  <si>
    <t>Tarjeta Gráfica Principal.</t>
  </si>
  <si>
    <t>PUERTO RAÍZ 2</t>
  </si>
  <si>
    <t>00:1C.0</t>
  </si>
  <si>
    <r>
      <t>0xE00E0000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0xE00E0FFF</t>
    </r>
  </si>
  <si>
    <r>
      <t xml:space="preserve">Controla el </t>
    </r>
    <r>
      <rPr>
        <b/>
        <sz val="11"/>
        <color theme="1"/>
        <rFont val="Arial"/>
        <family val="2"/>
      </rPr>
      <t>Bus 2</t>
    </r>
    <r>
      <rPr>
        <sz val="11"/>
        <color theme="1"/>
        <rFont val="Arial"/>
        <family val="2"/>
      </rPr>
      <t>. Aquí se conectará el almacenamiento.</t>
    </r>
  </si>
  <si>
    <r>
      <t xml:space="preserve">└─ </t>
    </r>
    <r>
      <rPr>
        <b/>
        <sz val="11"/>
        <color theme="1"/>
        <rFont val="Arial"/>
        <family val="2"/>
      </rPr>
      <t>NVMe SSD</t>
    </r>
  </si>
  <si>
    <t>02:00.0</t>
  </si>
  <si>
    <r>
      <t>0xE0200000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0xE0200FFF</t>
    </r>
  </si>
  <si>
    <t>Almacenamiento de estado sólido.</t>
  </si>
  <si>
    <t>PUERTO RAÍZ 3</t>
  </si>
  <si>
    <t>00:1C.1</t>
  </si>
  <si>
    <r>
      <t>0xE00E1000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0xE00E1FFF</t>
    </r>
  </si>
  <si>
    <r>
      <t xml:space="preserve">Abre la línea hacia el Chipset. Controla el </t>
    </r>
    <r>
      <rPr>
        <b/>
        <sz val="11"/>
        <color theme="1"/>
        <rFont val="Arial"/>
        <family val="2"/>
      </rPr>
      <t>Bus 3</t>
    </r>
    <r>
      <rPr>
        <sz val="11"/>
        <color theme="1"/>
        <rFont val="Arial"/>
        <family val="2"/>
      </rPr>
      <t>.</t>
    </r>
  </si>
  <si>
    <r>
      <t xml:space="preserve">└─ </t>
    </r>
    <r>
      <rPr>
        <b/>
        <sz val="11"/>
        <color theme="1"/>
        <rFont val="Arial"/>
        <family val="2"/>
      </rPr>
      <t>CHIPSET (SWITCH)</t>
    </r>
  </si>
  <si>
    <t>Estructura Interna</t>
  </si>
  <si>
    <t>—</t>
  </si>
  <si>
    <t>El Chipset distribuye el tráfico en cascada:</t>
  </si>
  <si>
    <r>
      <t xml:space="preserve">   ├── </t>
    </r>
    <r>
      <rPr>
        <i/>
        <sz val="11"/>
        <color theme="1"/>
        <rFont val="Arial"/>
        <family val="2"/>
      </rPr>
      <t>Upstream Port</t>
    </r>
  </si>
  <si>
    <t>Puerto/Bridge (Switch)</t>
  </si>
  <si>
    <t>03:00.0</t>
  </si>
  <si>
    <r>
      <t>0xE0300000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0xE0300FFF</t>
    </r>
  </si>
  <si>
    <t>Entrada al Chipset. Abre el espacio para sus puertos de salida (Buses 4 al 11).</t>
  </si>
  <si>
    <r>
      <t xml:space="preserve">   ├── </t>
    </r>
    <r>
      <rPr>
        <b/>
        <sz val="11"/>
        <color theme="1"/>
        <rFont val="Arial"/>
        <family val="2"/>
      </rPr>
      <t>Port 1 (Downstream)</t>
    </r>
  </si>
  <si>
    <t>04:00.0</t>
  </si>
  <si>
    <r>
      <t>0xE0400000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0xE0400FFF</t>
    </r>
  </si>
  <si>
    <r>
      <t xml:space="preserve">Controla el </t>
    </r>
    <r>
      <rPr>
        <b/>
        <sz val="11"/>
        <color theme="1"/>
        <rFont val="Arial"/>
        <family val="2"/>
      </rPr>
      <t>Bus 5</t>
    </r>
    <r>
      <rPr>
        <sz val="11"/>
        <color theme="1"/>
        <rFont val="Arial"/>
        <family val="2"/>
      </rPr>
      <t xml:space="preserve"> \(\rightarrow \) Conectado a: </t>
    </r>
    <r>
      <rPr>
        <b/>
        <sz val="11"/>
        <color theme="1"/>
        <rFont val="Arial"/>
        <family val="2"/>
      </rPr>
      <t>Controladora USB (Teclado)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Courier New"/>
        <family val="3"/>
      </rPr>
      <t>05:00.0</t>
    </r>
    <r>
      <rPr>
        <sz val="11"/>
        <color theme="1"/>
        <rFont val="Arial"/>
        <family val="2"/>
      </rPr>
      <t xml:space="preserve"> en </t>
    </r>
    <r>
      <rPr>
        <sz val="11"/>
        <color theme="1"/>
        <rFont val="Courier New"/>
        <family val="3"/>
      </rPr>
      <t>0xE0500000</t>
    </r>
    <r>
      <rPr>
        <sz val="11"/>
        <color theme="1"/>
        <rFont val="Arial"/>
        <family val="2"/>
      </rPr>
      <t>).</t>
    </r>
  </si>
  <si>
    <r>
      <t xml:space="preserve">   ├── </t>
    </r>
    <r>
      <rPr>
        <b/>
        <sz val="11"/>
        <color theme="1"/>
        <rFont val="Arial"/>
        <family val="2"/>
      </rPr>
      <t>Port 2 (Downstream)</t>
    </r>
  </si>
  <si>
    <t>04:01.0</t>
  </si>
  <si>
    <r>
      <t>0xE0408000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0xE0408FFF</t>
    </r>
  </si>
  <si>
    <r>
      <t xml:space="preserve">Controla el </t>
    </r>
    <r>
      <rPr>
        <b/>
        <sz val="11"/>
        <color theme="1"/>
        <rFont val="Arial"/>
        <family val="2"/>
      </rPr>
      <t>Bus 6</t>
    </r>
    <r>
      <rPr>
        <sz val="11"/>
        <color theme="1"/>
        <rFont val="Arial"/>
        <family val="2"/>
      </rPr>
      <t xml:space="preserve"> \(\rightarrow \) Conectado a: </t>
    </r>
    <r>
      <rPr>
        <b/>
        <sz val="11"/>
        <color theme="1"/>
        <rFont val="Arial"/>
        <family val="2"/>
      </rPr>
      <t>Controladora USB (Mouse)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Courier New"/>
        <family val="3"/>
      </rPr>
      <t>06:00.0</t>
    </r>
    <r>
      <rPr>
        <sz val="11"/>
        <color theme="1"/>
        <rFont val="Arial"/>
        <family val="2"/>
      </rPr>
      <t xml:space="preserve"> en </t>
    </r>
    <r>
      <rPr>
        <sz val="11"/>
        <color theme="1"/>
        <rFont val="Courier New"/>
        <family val="3"/>
      </rPr>
      <t>0xE0600000</t>
    </r>
    <r>
      <rPr>
        <sz val="11"/>
        <color theme="1"/>
        <rFont val="Arial"/>
        <family val="2"/>
      </rPr>
      <t>).</t>
    </r>
  </si>
  <si>
    <r>
      <t xml:space="preserve">   ├── </t>
    </r>
    <r>
      <rPr>
        <b/>
        <sz val="11"/>
        <color theme="1"/>
        <rFont val="Arial"/>
        <family val="2"/>
      </rPr>
      <t>Port 3 (Downstream)</t>
    </r>
  </si>
  <si>
    <t>04:02.0</t>
  </si>
  <si>
    <r>
      <t>0xE0410000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0xE0410FFF</t>
    </r>
  </si>
  <si>
    <r>
      <t xml:space="preserve">   ├── </t>
    </r>
    <r>
      <rPr>
        <b/>
        <sz val="11"/>
        <color theme="1"/>
        <rFont val="Arial"/>
        <family val="2"/>
      </rPr>
      <t>Port 4 (Downstream)</t>
    </r>
  </si>
  <si>
    <t>04:03.0</t>
  </si>
  <si>
    <r>
      <t>0xE0418000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0xE0418FFF</t>
    </r>
  </si>
  <si>
    <r>
      <t xml:space="preserve">   ├── </t>
    </r>
    <r>
      <rPr>
        <b/>
        <sz val="11"/>
        <color theme="1"/>
        <rFont val="Arial"/>
        <family val="2"/>
      </rPr>
      <t>Port 5 (Downstream)</t>
    </r>
  </si>
  <si>
    <t>04:04.0</t>
  </si>
  <si>
    <r>
      <t>0xE0420000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0xE0420FFF</t>
    </r>
  </si>
  <si>
    <r>
      <t xml:space="preserve">   ├── </t>
    </r>
    <r>
      <rPr>
        <b/>
        <sz val="11"/>
        <color theme="1"/>
        <rFont val="Arial"/>
        <family val="2"/>
      </rPr>
      <t>Port 6 (Downstream)</t>
    </r>
  </si>
  <si>
    <t>04:05.0</t>
  </si>
  <si>
    <r>
      <t>0xE0428000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0xE0428FFF</t>
    </r>
  </si>
  <si>
    <r>
      <t xml:space="preserve">   ├── </t>
    </r>
    <r>
      <rPr>
        <b/>
        <sz val="11"/>
        <color theme="1"/>
        <rFont val="Arial"/>
        <family val="2"/>
      </rPr>
      <t>Port 7 (Downstream)</t>
    </r>
  </si>
  <si>
    <t>04:06.0</t>
  </si>
  <si>
    <r>
      <t>0xE0430000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0xE0430FFF</t>
    </r>
  </si>
  <si>
    <r>
      <t xml:space="preserve">   └── </t>
    </r>
    <r>
      <rPr>
        <b/>
        <sz val="11"/>
        <color theme="1"/>
        <rFont val="Arial"/>
        <family val="2"/>
      </rPr>
      <t>Port 8 (Downstream)</t>
    </r>
  </si>
  <si>
    <t>04:07.0</t>
  </si>
  <si>
    <r>
      <t>0xE0438000</t>
    </r>
    <r>
      <rPr>
        <sz val="11"/>
        <color theme="1"/>
        <rFont val="Arial"/>
        <family val="2"/>
      </rPr>
      <t xml:space="preserve"> - </t>
    </r>
    <r>
      <rPr>
        <sz val="11"/>
        <color theme="1"/>
        <rFont val="Courier New"/>
        <family val="3"/>
      </rPr>
      <t>0xE0438FFF</t>
    </r>
  </si>
  <si>
    <t>Rango Dirección ECAM</t>
  </si>
  <si>
    <t>Nota: 0x7A32 es mi vendor ID y 0001 es el root complex</t>
  </si>
  <si>
    <t>3 Bytes</t>
  </si>
  <si>
    <t>1 Bytes</t>
  </si>
  <si>
    <t>Class Code (3B)</t>
  </si>
  <si>
    <t>Para cada puerto se entienede que es una funcion de Switch distinta. Para 3 puertos el switch tiene 3 funciones. Excepto en el Root Complex</t>
  </si>
  <si>
    <t>Hex</t>
  </si>
  <si>
    <t>Instrucción</t>
  </si>
  <si>
    <t>Codigo</t>
  </si>
  <si>
    <t>TTY Controller</t>
  </si>
  <si>
    <t>Dato 1</t>
  </si>
  <si>
    <t>Dato 2</t>
  </si>
  <si>
    <t>Descrip</t>
  </si>
  <si>
    <t>Name</t>
  </si>
  <si>
    <t>Write</t>
  </si>
  <si>
    <t>Delete</t>
  </si>
  <si>
    <t>Clear</t>
  </si>
  <si>
    <t>Write_Addr</t>
  </si>
  <si>
    <t>-</t>
  </si>
  <si>
    <t>No hace nada (Estado por defecto)</t>
  </si>
  <si>
    <t xml:space="preserve">Borra X cantidad de espacios </t>
  </si>
  <si>
    <t>Limpia toda la pantalla</t>
  </si>
  <si>
    <t>Letra</t>
  </si>
  <si>
    <t>Escribe una letra X cantidad de veces</t>
  </si>
  <si>
    <t>Cant</t>
  </si>
  <si>
    <t>Addr</t>
  </si>
  <si>
    <t xml:space="preserve">Escribe los bytes de la direccion dicha </t>
  </si>
  <si>
    <t>Comand</t>
  </si>
  <si>
    <t>Status</t>
  </si>
  <si>
    <t>Enable TTY</t>
  </si>
  <si>
    <t>Enable DMA</t>
  </si>
  <si>
    <t>Busy</t>
  </si>
  <si>
    <t>Invalid Command</t>
  </si>
  <si>
    <t>Ready</t>
  </si>
  <si>
    <t>DMA Not Allowed</t>
  </si>
  <si>
    <t>Devices</t>
  </si>
  <si>
    <t>Descrpción</t>
  </si>
  <si>
    <t xml:space="preserve">Common Bridges. Fuera del Root Complex </t>
  </si>
  <si>
    <t>Root Complex Bridges</t>
  </si>
  <si>
    <t>Base-Sub-Prog IF-Header Type</t>
  </si>
  <si>
    <t>0x2C</t>
  </si>
  <si>
    <t>MSI Vector (32 bits)</t>
  </si>
  <si>
    <t>Entrada para las insterrupciones MSI</t>
  </si>
  <si>
    <t xml:space="preserve">Valores que guardan las interrupciones en cola (mapa de bits). </t>
  </si>
  <si>
    <t>Keyboard</t>
  </si>
  <si>
    <t>Keyboard Controller</t>
  </si>
  <si>
    <t>Cls</t>
  </si>
  <si>
    <t>Limpia el buffer</t>
  </si>
  <si>
    <t>Limpia el estado IRQ</t>
  </si>
  <si>
    <t>Enable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</si>
</sst>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ourier New"/>
      <family val="3"/>
    </font>
    <font>
      <i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440">
    <xf numFmtId="0" fontId="0" fillId="0" borderId="0" xfId="0"/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4" borderId="34" xfId="0" applyNumberFormat="1" applyFill="1" applyBorder="1" applyAlignment="1">
      <alignment horizontal="center" vertical="center"/>
    </xf>
    <xf numFmtId="49" fontId="0" fillId="4" borderId="25" xfId="0" applyNumberForma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6" borderId="31" xfId="0" applyFill="1" applyBorder="1" applyAlignment="1">
      <alignment vertical="center"/>
    </xf>
    <xf numFmtId="0" fontId="0" fillId="5" borderId="31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5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5" fillId="0" borderId="8" xfId="0" applyFont="1" applyBorder="1" applyAlignment="1">
      <alignment horizontal="left" vertical="center" wrapText="1" indent="1" readingOrder="1"/>
    </xf>
    <xf numFmtId="0" fontId="5" fillId="0" borderId="9" xfId="0" applyFont="1" applyBorder="1" applyAlignment="1">
      <alignment horizontal="left" vertical="center" wrapText="1" indent="1" readingOrder="1"/>
    </xf>
    <xf numFmtId="0" fontId="4" fillId="0" borderId="34" xfId="0" applyFont="1" applyBorder="1" applyAlignment="1">
      <alignment horizontal="left" vertical="center" wrapText="1" indent="1" readingOrder="1"/>
    </xf>
    <xf numFmtId="0" fontId="4" fillId="2" borderId="73" xfId="0" applyFont="1" applyFill="1" applyBorder="1" applyAlignment="1">
      <alignment horizontal="left" vertical="center" wrapText="1" indent="1" readingOrder="1"/>
    </xf>
    <xf numFmtId="0" fontId="4" fillId="2" borderId="34" xfId="0" applyFont="1" applyFill="1" applyBorder="1" applyAlignment="1">
      <alignment horizontal="left" vertical="center" wrapText="1" indent="1" readingOrder="1"/>
    </xf>
    <xf numFmtId="0" fontId="4" fillId="2" borderId="25" xfId="0" applyFont="1" applyFill="1" applyBorder="1" applyAlignment="1">
      <alignment horizontal="left" vertical="center" wrapText="1" indent="1" readingOrder="1"/>
    </xf>
    <xf numFmtId="0" fontId="4" fillId="2" borderId="26" xfId="0" applyFont="1" applyFill="1" applyBorder="1" applyAlignment="1">
      <alignment horizontal="left" vertical="center" wrapText="1" indent="1" readingOrder="1"/>
    </xf>
    <xf numFmtId="0" fontId="5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4" fillId="0" borderId="8" xfId="0" applyFont="1" applyBorder="1" applyAlignment="1">
      <alignment horizontal="left" vertical="center" wrapText="1" indent="1" readingOrder="1"/>
    </xf>
    <xf numFmtId="0" fontId="5" fillId="0" borderId="25" xfId="0" applyFont="1" applyBorder="1" applyAlignment="1">
      <alignment horizontal="left" vertical="center" wrapText="1" indent="1" readingOrder="1"/>
    </xf>
    <xf numFmtId="0" fontId="3" fillId="0" borderId="25" xfId="0" applyFont="1" applyBorder="1" applyAlignment="1">
      <alignment horizontal="left" vertical="center" wrapText="1" indent="1" readingOrder="1"/>
    </xf>
    <xf numFmtId="0" fontId="5" fillId="0" borderId="26" xfId="0" applyFont="1" applyBorder="1" applyAlignment="1">
      <alignment horizontal="left" vertical="center" wrapText="1" indent="1" readingOrder="1"/>
    </xf>
    <xf numFmtId="0" fontId="5" fillId="3" borderId="73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left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4" fillId="0" borderId="60" xfId="0" applyFont="1" applyBorder="1" applyAlignment="1">
      <alignment horizontal="left" vertical="center" wrapText="1" readingOrder="1"/>
    </xf>
    <xf numFmtId="0" fontId="3" fillId="0" borderId="61" xfId="0" applyFont="1" applyBorder="1" applyAlignment="1">
      <alignment horizontal="left" vertical="center" wrapText="1" readingOrder="1"/>
    </xf>
    <xf numFmtId="0" fontId="3" fillId="0" borderId="63" xfId="0" applyFont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left" vertical="center" wrapText="1" readingOrder="1"/>
    </xf>
    <xf numFmtId="0" fontId="3" fillId="0" borderId="12" xfId="0" applyFont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left" vertical="center" wrapText="1" readingOrder="1"/>
    </xf>
    <xf numFmtId="0" fontId="4" fillId="2" borderId="73" xfId="0" applyFont="1" applyFill="1" applyBorder="1" applyAlignment="1">
      <alignment horizontal="center" vertical="center" wrapText="1" readingOrder="1"/>
    </xf>
    <xf numFmtId="0" fontId="4" fillId="2" borderId="35" xfId="0" applyFont="1" applyFill="1" applyBorder="1" applyAlignment="1">
      <alignment horizontal="center" vertical="center" wrapText="1" readingOrder="1"/>
    </xf>
    <xf numFmtId="0" fontId="4" fillId="2" borderId="27" xfId="0" applyFont="1" applyFill="1" applyBorder="1" applyAlignment="1">
      <alignment horizontal="center" vertical="center" wrapText="1" readingOrder="1"/>
    </xf>
    <xf numFmtId="0" fontId="4" fillId="2" borderId="28" xfId="0" applyFont="1" applyFill="1" applyBorder="1" applyAlignment="1">
      <alignment horizontal="center" vertical="center" wrapText="1" readingOrder="1"/>
    </xf>
    <xf numFmtId="0" fontId="4" fillId="3" borderId="18" xfId="0" applyFont="1" applyFill="1" applyBorder="1" applyAlignment="1">
      <alignment horizontal="center" vertical="center" wrapText="1" readingOrder="1"/>
    </xf>
    <xf numFmtId="0" fontId="4" fillId="3" borderId="19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20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 vertical="center" wrapText="1" indent="1" readingOrder="1"/>
    </xf>
    <xf numFmtId="0" fontId="3" fillId="0" borderId="7" xfId="0" applyFont="1" applyBorder="1" applyAlignment="1">
      <alignment horizontal="right" vertical="center" wrapText="1" indent="1" readingOrder="1"/>
    </xf>
    <xf numFmtId="0" fontId="4" fillId="0" borderId="7" xfId="0" applyFont="1" applyBorder="1" applyAlignment="1">
      <alignment horizontal="right" vertical="center" wrapText="1" indent="1" readingOrder="1"/>
    </xf>
    <xf numFmtId="0" fontId="4" fillId="0" borderId="8" xfId="0" applyFont="1" applyBorder="1" applyAlignment="1">
      <alignment horizontal="right" vertical="center" wrapText="1" indent="1" readingOrder="1"/>
    </xf>
    <xf numFmtId="0" fontId="4" fillId="0" borderId="9" xfId="0" applyFont="1" applyBorder="1" applyAlignment="1">
      <alignment horizontal="right" vertical="center" wrapText="1" indent="1" readingOrder="1"/>
    </xf>
    <xf numFmtId="0" fontId="3" fillId="0" borderId="11" xfId="0" applyFont="1" applyBorder="1" applyAlignment="1">
      <alignment horizontal="right" vertical="center" wrapText="1" indent="1" readingOrder="1"/>
    </xf>
    <xf numFmtId="0" fontId="3" fillId="0" borderId="12" xfId="0" applyFont="1" applyBorder="1" applyAlignment="1">
      <alignment horizontal="right" vertical="center" wrapText="1" indent="1" readingOrder="1"/>
    </xf>
    <xf numFmtId="0" fontId="3" fillId="0" borderId="63" xfId="0" applyFont="1" applyBorder="1" applyAlignment="1">
      <alignment horizontal="right" vertical="center" wrapText="1" indent="1" readingOrder="1"/>
    </xf>
    <xf numFmtId="0" fontId="4" fillId="0" borderId="60" xfId="0" applyFont="1" applyBorder="1" applyAlignment="1">
      <alignment horizontal="right" vertical="center" wrapText="1" indent="1" readingOrder="1"/>
    </xf>
    <xf numFmtId="0" fontId="3" fillId="0" borderId="61" xfId="0" applyFont="1" applyBorder="1" applyAlignment="1">
      <alignment horizontal="right" vertical="center" wrapText="1" indent="1" readingOrder="1"/>
    </xf>
    <xf numFmtId="0" fontId="4" fillId="3" borderId="17" xfId="0" applyFont="1" applyFill="1" applyBorder="1" applyAlignment="1">
      <alignment horizontal="left" vertical="center" wrapText="1" readingOrder="1"/>
    </xf>
    <xf numFmtId="0" fontId="4" fillId="3" borderId="18" xfId="0" applyFont="1" applyFill="1" applyBorder="1" applyAlignment="1">
      <alignment horizontal="left" vertical="center" wrapText="1" readingOrder="1"/>
    </xf>
    <xf numFmtId="0" fontId="4" fillId="3" borderId="19" xfId="0" applyFont="1" applyFill="1" applyBorder="1" applyAlignment="1">
      <alignment horizontal="left" vertical="center" wrapText="1" readingOrder="1"/>
    </xf>
    <xf numFmtId="0" fontId="4" fillId="3" borderId="17" xfId="0" applyFont="1" applyFill="1" applyBorder="1" applyAlignment="1">
      <alignment horizontal="right" vertical="center" wrapText="1" indent="1" readingOrder="1"/>
    </xf>
    <xf numFmtId="0" fontId="4" fillId="3" borderId="18" xfId="0" applyFont="1" applyFill="1" applyBorder="1" applyAlignment="1">
      <alignment horizontal="right" vertical="center" wrapText="1" indent="1" readingOrder="1"/>
    </xf>
    <xf numFmtId="0" fontId="4" fillId="3" borderId="19" xfId="0" applyFont="1" applyFill="1" applyBorder="1" applyAlignment="1">
      <alignment horizontal="right" vertical="center" wrapText="1" indent="1" readingOrder="1"/>
    </xf>
    <xf numFmtId="0" fontId="4" fillId="2" borderId="73" xfId="0" applyFont="1" applyFill="1" applyBorder="1" applyAlignment="1">
      <alignment horizontal="left" vertical="center" wrapText="1" readingOrder="1"/>
    </xf>
    <xf numFmtId="0" fontId="4" fillId="2" borderId="25" xfId="0" applyFont="1" applyFill="1" applyBorder="1" applyAlignment="1">
      <alignment horizontal="left" vertical="center" wrapText="1" readingOrder="1"/>
    </xf>
    <xf numFmtId="0" fontId="4" fillId="2" borderId="26" xfId="0" applyFont="1" applyFill="1" applyBorder="1" applyAlignment="1">
      <alignment horizontal="left" vertical="center" wrapText="1" readingOrder="1"/>
    </xf>
    <xf numFmtId="0" fontId="4" fillId="2" borderId="34" xfId="0" applyFont="1" applyFill="1" applyBorder="1" applyAlignment="1">
      <alignment horizontal="left" vertical="center" wrapText="1" readingOrder="1"/>
    </xf>
    <xf numFmtId="0" fontId="7" fillId="0" borderId="0" xfId="0" applyFont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 readingOrder="1"/>
    </xf>
    <xf numFmtId="0" fontId="4" fillId="2" borderId="26" xfId="0" applyFont="1" applyFill="1" applyBorder="1" applyAlignment="1">
      <alignment horizontal="center" vertical="center" wrapText="1" readingOrder="1"/>
    </xf>
    <xf numFmtId="0" fontId="3" fillId="0" borderId="49" xfId="0" applyFont="1" applyBorder="1" applyAlignment="1">
      <alignment horizontal="center" vertical="center" wrapText="1" readingOrder="1"/>
    </xf>
    <xf numFmtId="0" fontId="0" fillId="9" borderId="31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15" xfId="0" applyFont="1" applyFill="1" applyBorder="1" applyAlignment="1">
      <alignment horizontal="center" vertical="center" wrapText="1" readingOrder="1"/>
    </xf>
    <xf numFmtId="0" fontId="5" fillId="3" borderId="16" xfId="0" applyFont="1" applyFill="1" applyBorder="1" applyAlignment="1">
      <alignment horizontal="center" vertical="center" wrapText="1" readingOrder="1"/>
    </xf>
    <xf numFmtId="0" fontId="5" fillId="3" borderId="20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1" fillId="0" borderId="60" xfId="0" applyFont="1" applyBorder="1" applyAlignment="1">
      <alignment vertical="center" wrapText="1"/>
    </xf>
    <xf numFmtId="0" fontId="7" fillId="0" borderId="61" xfId="0" applyFont="1" applyBorder="1" applyAlignment="1">
      <alignment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7" fillId="0" borderId="6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10" fillId="2" borderId="73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vertical="center" wrapText="1"/>
    </xf>
    <xf numFmtId="0" fontId="7" fillId="3" borderId="18" xfId="0" applyFont="1" applyFill="1" applyBorder="1" applyAlignment="1">
      <alignment vertical="center" wrapText="1"/>
    </xf>
    <xf numFmtId="0" fontId="10" fillId="3" borderId="18" xfId="0" applyFont="1" applyFill="1" applyBorder="1" applyAlignment="1">
      <alignment vertical="center" wrapText="1"/>
    </xf>
    <xf numFmtId="0" fontId="7" fillId="3" borderId="19" xfId="0" applyFont="1" applyFill="1" applyBorder="1" applyAlignment="1">
      <alignment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2" borderId="43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0" fillId="3" borderId="31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44" xfId="0" applyFill="1" applyBorder="1" applyAlignment="1">
      <alignment horizontal="center" wrapText="1"/>
    </xf>
    <xf numFmtId="0" fontId="0" fillId="6" borderId="9" xfId="0" applyFill="1" applyBorder="1" applyAlignment="1">
      <alignment horizontal="center" wrapText="1"/>
    </xf>
    <xf numFmtId="0" fontId="0" fillId="10" borderId="24" xfId="0" applyFill="1" applyBorder="1"/>
    <xf numFmtId="0" fontId="0" fillId="10" borderId="73" xfId="0" applyFill="1" applyBorder="1"/>
    <xf numFmtId="0" fontId="0" fillId="3" borderId="17" xfId="0" applyFill="1" applyBorder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0" borderId="27" xfId="0" applyBorder="1"/>
    <xf numFmtId="0" fontId="0" fillId="0" borderId="28" xfId="0" applyBorder="1"/>
    <xf numFmtId="0" fontId="0" fillId="10" borderId="25" xfId="0" applyFill="1" applyBorder="1"/>
    <xf numFmtId="0" fontId="0" fillId="10" borderId="26" xfId="0" applyFill="1" applyBorder="1"/>
    <xf numFmtId="0" fontId="0" fillId="6" borderId="35" xfId="0" applyFill="1" applyBorder="1"/>
    <xf numFmtId="0" fontId="0" fillId="6" borderId="27" xfId="0" applyFill="1" applyBorder="1"/>
    <xf numFmtId="0" fontId="0" fillId="9" borderId="7" xfId="0" applyFill="1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6" borderId="70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0" fillId="6" borderId="54" xfId="0" applyFill="1" applyBorder="1" applyAlignment="1">
      <alignment horizontal="center" wrapText="1"/>
    </xf>
    <xf numFmtId="0" fontId="0" fillId="6" borderId="6" xfId="0" applyFill="1" applyBorder="1"/>
    <xf numFmtId="0" fontId="4" fillId="0" borderId="0" xfId="0" applyFont="1" applyAlignment="1">
      <alignment vertical="center" wrapText="1" readingOrder="1"/>
    </xf>
    <xf numFmtId="0" fontId="0" fillId="10" borderId="7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46" xfId="0" applyBorder="1"/>
    <xf numFmtId="0" fontId="0" fillId="0" borderId="64" xfId="0" applyBorder="1"/>
    <xf numFmtId="0" fontId="0" fillId="0" borderId="65" xfId="0" applyBorder="1"/>
    <xf numFmtId="0" fontId="0" fillId="0" borderId="71" xfId="0" applyBorder="1"/>
    <xf numFmtId="0" fontId="0" fillId="0" borderId="70" xfId="0" applyBorder="1"/>
    <xf numFmtId="0" fontId="0" fillId="0" borderId="42" xfId="0" applyBorder="1"/>
    <xf numFmtId="0" fontId="0" fillId="0" borderId="66" xfId="0" applyBorder="1"/>
    <xf numFmtId="0" fontId="0" fillId="0" borderId="67" xfId="0" applyBorder="1"/>
    <xf numFmtId="0" fontId="0" fillId="0" borderId="28" xfId="0" applyBorder="1" applyAlignment="1">
      <alignment wrapText="1"/>
    </xf>
    <xf numFmtId="0" fontId="0" fillId="0" borderId="3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9" fillId="0" borderId="0" xfId="0" applyFont="1"/>
    <xf numFmtId="0" fontId="0" fillId="0" borderId="32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6" fillId="4" borderId="55" xfId="0" applyFont="1" applyFill="1" applyBorder="1" applyAlignment="1">
      <alignment horizontal="center" vertical="center" wrapText="1"/>
    </xf>
    <xf numFmtId="0" fontId="6" fillId="4" borderId="56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46" xfId="0" applyFont="1" applyFill="1" applyBorder="1" applyAlignment="1">
      <alignment horizontal="center" vertical="center" wrapText="1"/>
    </xf>
    <xf numFmtId="0" fontId="6" fillId="4" borderId="64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 vertical="center" wrapText="1"/>
    </xf>
    <xf numFmtId="0" fontId="0" fillId="4" borderId="56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 readingOrder="1"/>
    </xf>
    <xf numFmtId="0" fontId="4" fillId="10" borderId="26" xfId="0" applyFont="1" applyFill="1" applyBorder="1" applyAlignment="1">
      <alignment horizontal="center" vertical="center" wrapText="1" readingOrder="1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2" borderId="43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0" borderId="7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2" borderId="64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0" fillId="3" borderId="43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4" fillId="0" borderId="57" xfId="0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64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 wrapText="1"/>
    </xf>
    <xf numFmtId="0" fontId="0" fillId="2" borderId="74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7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70" xfId="0" applyFill="1" applyBorder="1" applyAlignment="1">
      <alignment horizontal="center" vertical="center" wrapText="1"/>
    </xf>
    <xf numFmtId="0" fontId="0" fillId="2" borderId="42" xfId="0" applyFill="1" applyBorder="1" applyAlignment="1">
      <alignment horizontal="center" vertical="center" wrapText="1"/>
    </xf>
    <xf numFmtId="0" fontId="0" fillId="2" borderId="66" xfId="0" applyFill="1" applyBorder="1" applyAlignment="1">
      <alignment horizontal="center" vertical="center" wrapText="1"/>
    </xf>
    <xf numFmtId="0" fontId="0" fillId="2" borderId="6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4" borderId="25" xfId="0" applyNumberFormat="1" applyFill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49" fontId="0" fillId="0" borderId="62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43" xfId="1" applyNumberFormat="1" applyFont="1" applyBorder="1" applyAlignment="1">
      <alignment horizontal="center" vertical="center"/>
    </xf>
    <xf numFmtId="0" fontId="0" fillId="0" borderId="55" xfId="1" applyNumberFormat="1" applyFont="1" applyBorder="1" applyAlignment="1">
      <alignment horizontal="center" vertical="center"/>
    </xf>
    <xf numFmtId="0" fontId="0" fillId="3" borderId="42" xfId="0" applyFill="1" applyBorder="1" applyAlignment="1">
      <alignment horizontal="center" vertical="center" wrapText="1"/>
    </xf>
    <xf numFmtId="0" fontId="0" fillId="3" borderId="66" xfId="0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2" borderId="48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wrapText="1"/>
    </xf>
    <xf numFmtId="0" fontId="0" fillId="2" borderId="50" xfId="0" applyFill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4" borderId="43" xfId="0" applyFill="1" applyBorder="1" applyAlignment="1">
      <alignment horizontal="center" wrapText="1"/>
    </xf>
    <xf numFmtId="0" fontId="0" fillId="4" borderId="55" xfId="0" applyFill="1" applyBorder="1" applyAlignment="1">
      <alignment horizontal="center" wrapText="1"/>
    </xf>
    <xf numFmtId="0" fontId="0" fillId="4" borderId="56" xfId="0" applyFill="1" applyBorder="1" applyAlignment="1">
      <alignment horizontal="center" wrapText="1"/>
    </xf>
    <xf numFmtId="0" fontId="0" fillId="9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44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0" fillId="2" borderId="43" xfId="0" applyFill="1" applyBorder="1" applyAlignment="1">
      <alignment horizontal="center" wrapText="1"/>
    </xf>
    <xf numFmtId="0" fontId="0" fillId="2" borderId="56" xfId="0" applyFill="1" applyBorder="1" applyAlignment="1">
      <alignment horizontal="center" wrapText="1"/>
    </xf>
    <xf numFmtId="0" fontId="0" fillId="6" borderId="31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0" fillId="6" borderId="32" xfId="0" applyFill="1" applyBorder="1" applyAlignment="1">
      <alignment horizontal="center" wrapText="1"/>
    </xf>
    <xf numFmtId="0" fontId="0" fillId="6" borderId="54" xfId="0" applyFill="1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0" fillId="0" borderId="33" xfId="0" applyBorder="1" applyAlignment="1">
      <alignment horizontal="left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5"/>
  <sheetViews>
    <sheetView topLeftCell="L57" zoomScale="70" zoomScaleNormal="70" workbookViewId="0">
      <selection activeCell="Z59" sqref="Z59"/>
    </sheetView>
  </sheetViews>
  <sheetFormatPr baseColWidth="10" defaultColWidth="9.140625" defaultRowHeight="15" x14ac:dyDescent="0.25"/>
  <cols>
    <col min="1" max="1" width="9.140625" style="15"/>
    <col min="2" max="2" width="19.85546875" style="15" customWidth="1"/>
    <col min="3" max="3" width="22.85546875" style="15" customWidth="1"/>
    <col min="4" max="4" width="21.7109375" style="15" customWidth="1"/>
    <col min="5" max="6" width="19.85546875" style="15" customWidth="1"/>
    <col min="7" max="7" width="13.85546875" style="15" customWidth="1"/>
    <col min="8" max="8" width="15.140625" style="15" customWidth="1"/>
    <col min="9" max="9" width="17.28515625" style="15" customWidth="1"/>
    <col min="10" max="10" width="13.85546875" style="15" customWidth="1"/>
    <col min="11" max="11" width="13.5703125" style="15" bestFit="1" customWidth="1"/>
    <col min="12" max="12" width="14.42578125" style="15" customWidth="1"/>
    <col min="13" max="13" width="16" style="15" customWidth="1"/>
    <col min="14" max="14" width="22.28515625" style="15" customWidth="1"/>
    <col min="15" max="15" width="18.7109375" style="15" customWidth="1"/>
    <col min="16" max="16" width="20" style="15" customWidth="1"/>
    <col min="17" max="17" width="9.140625" style="15" customWidth="1"/>
    <col min="18" max="18" width="11.28515625" style="15" customWidth="1"/>
    <col min="19" max="19" width="20.5703125" style="15" customWidth="1"/>
    <col min="20" max="20" width="14.7109375" style="15" customWidth="1"/>
    <col min="21" max="21" width="8.85546875" style="15" customWidth="1"/>
    <col min="22" max="22" width="9.28515625" style="15" customWidth="1"/>
    <col min="23" max="24" width="10.7109375" style="15" customWidth="1"/>
    <col min="25" max="25" width="15.28515625" style="15" customWidth="1"/>
    <col min="26" max="26" width="13.42578125" style="15" customWidth="1"/>
    <col min="27" max="28" width="6" style="15" customWidth="1"/>
    <col min="29" max="29" width="15.140625" style="15" customWidth="1"/>
    <col min="30" max="30" width="13.28515625" style="15" customWidth="1"/>
    <col min="31" max="31" width="14.140625" style="15" customWidth="1"/>
    <col min="32" max="32" width="14.7109375" style="15" customWidth="1"/>
    <col min="33" max="33" width="17.28515625" style="15" customWidth="1"/>
    <col min="34" max="35" width="10.7109375" style="15" customWidth="1"/>
    <col min="36" max="16384" width="9.140625" style="15"/>
  </cols>
  <sheetData>
    <row r="1" spans="2:35" ht="15.75" thickBot="1" x14ac:dyDescent="0.3"/>
    <row r="2" spans="2:35" ht="15.75" thickBot="1" x14ac:dyDescent="0.3">
      <c r="B2" s="360" t="s">
        <v>76</v>
      </c>
      <c r="C2" s="372" t="s">
        <v>2</v>
      </c>
      <c r="D2" s="373"/>
      <c r="E2" s="374" t="s">
        <v>3</v>
      </c>
      <c r="F2" s="374"/>
      <c r="G2" s="375" t="s">
        <v>4</v>
      </c>
      <c r="H2" s="374"/>
      <c r="I2" s="374" t="s">
        <v>5</v>
      </c>
      <c r="J2" s="374"/>
      <c r="K2" s="376" t="s">
        <v>6</v>
      </c>
      <c r="L2" s="374"/>
      <c r="M2" s="374"/>
      <c r="N2" s="374"/>
      <c r="O2" s="374"/>
      <c r="P2" s="377"/>
      <c r="R2" s="357" t="s">
        <v>61</v>
      </c>
      <c r="S2" s="355" t="s">
        <v>62</v>
      </c>
      <c r="T2" s="348" t="s">
        <v>2</v>
      </c>
      <c r="U2" s="349"/>
      <c r="V2" s="349"/>
      <c r="W2" s="349"/>
      <c r="X2" s="349"/>
      <c r="Y2" s="349"/>
      <c r="Z2" s="349"/>
      <c r="AA2" s="349"/>
      <c r="AB2" s="349" t="s">
        <v>3</v>
      </c>
      <c r="AC2" s="349"/>
      <c r="AD2" s="349"/>
      <c r="AE2" s="349"/>
      <c r="AF2" s="349"/>
      <c r="AG2" s="349"/>
      <c r="AH2" s="349"/>
      <c r="AI2" s="350"/>
    </row>
    <row r="3" spans="2:35" ht="15.75" thickBot="1" x14ac:dyDescent="0.3">
      <c r="B3" s="361"/>
      <c r="C3" s="16" t="s">
        <v>75</v>
      </c>
      <c r="D3" s="17" t="s">
        <v>74</v>
      </c>
      <c r="E3" s="17" t="s">
        <v>36</v>
      </c>
      <c r="F3" s="17" t="s">
        <v>35</v>
      </c>
      <c r="G3" s="16" t="s">
        <v>34</v>
      </c>
      <c r="H3" s="17" t="s">
        <v>33</v>
      </c>
      <c r="I3" s="17" t="s">
        <v>32</v>
      </c>
      <c r="J3" s="17" t="s">
        <v>31</v>
      </c>
      <c r="K3" s="339"/>
      <c r="L3" s="371"/>
      <c r="M3" s="371"/>
      <c r="N3" s="371"/>
      <c r="O3" s="371"/>
      <c r="P3" s="340"/>
      <c r="R3" s="358"/>
      <c r="S3" s="307"/>
      <c r="T3" s="18">
        <v>15</v>
      </c>
      <c r="U3" s="381" t="s">
        <v>79</v>
      </c>
      <c r="V3" s="381"/>
      <c r="W3" s="19">
        <v>12</v>
      </c>
      <c r="X3" s="19">
        <v>11</v>
      </c>
      <c r="Y3" s="19">
        <v>10</v>
      </c>
      <c r="Z3" s="19">
        <v>9</v>
      </c>
      <c r="AA3" s="347" t="s">
        <v>70</v>
      </c>
      <c r="AB3" s="347"/>
      <c r="AC3" s="19">
        <v>6</v>
      </c>
      <c r="AD3" s="19">
        <v>5</v>
      </c>
      <c r="AE3" s="19">
        <v>4</v>
      </c>
      <c r="AF3" s="19">
        <v>3</v>
      </c>
      <c r="AG3" s="19">
        <v>2</v>
      </c>
      <c r="AH3" s="19">
        <v>1</v>
      </c>
      <c r="AI3" s="20">
        <v>0</v>
      </c>
    </row>
    <row r="4" spans="2:35" ht="15.75" thickBot="1" x14ac:dyDescent="0.3">
      <c r="B4" s="362"/>
      <c r="C4" s="21" t="s">
        <v>1</v>
      </c>
      <c r="D4" s="22" t="s">
        <v>0</v>
      </c>
      <c r="E4" s="351" t="s">
        <v>37</v>
      </c>
      <c r="F4" s="274"/>
      <c r="G4" s="274"/>
      <c r="H4" s="274"/>
      <c r="I4" s="274"/>
      <c r="J4" s="275"/>
      <c r="K4" s="5" t="s">
        <v>7</v>
      </c>
      <c r="L4" s="22" t="s">
        <v>11</v>
      </c>
      <c r="M4" s="22" t="s">
        <v>8</v>
      </c>
      <c r="N4" s="351" t="s">
        <v>310</v>
      </c>
      <c r="O4" s="274"/>
      <c r="P4" s="275"/>
      <c r="R4" s="359"/>
      <c r="S4" s="356"/>
      <c r="T4" s="6" t="s">
        <v>127</v>
      </c>
      <c r="U4" s="351" t="s">
        <v>71</v>
      </c>
      <c r="V4" s="352"/>
      <c r="W4" s="7" t="s">
        <v>67</v>
      </c>
      <c r="X4" s="7" t="s">
        <v>66</v>
      </c>
      <c r="Y4" s="7" t="s">
        <v>10</v>
      </c>
      <c r="Z4" s="7" t="s">
        <v>24</v>
      </c>
      <c r="AA4" s="351" t="s">
        <v>68</v>
      </c>
      <c r="AB4" s="352"/>
      <c r="AC4" s="7" t="s">
        <v>11</v>
      </c>
      <c r="AD4" s="7" t="s">
        <v>22</v>
      </c>
      <c r="AE4" s="7" t="s">
        <v>21</v>
      </c>
      <c r="AF4" s="7" t="s">
        <v>23</v>
      </c>
      <c r="AG4" s="7" t="s">
        <v>65</v>
      </c>
      <c r="AH4" s="7" t="s">
        <v>64</v>
      </c>
      <c r="AI4" s="8" t="s">
        <v>63</v>
      </c>
    </row>
    <row r="5" spans="2:35" ht="15.75" thickBot="1" x14ac:dyDescent="0.3">
      <c r="B5" s="1">
        <v>0</v>
      </c>
      <c r="C5" s="24"/>
      <c r="D5" s="23" t="str">
        <f t="shared" ref="D5:D28" si="0">DEC2BIN(B5,5)</f>
        <v>00000</v>
      </c>
      <c r="E5" s="378"/>
      <c r="F5" s="379"/>
      <c r="G5" s="379"/>
      <c r="H5" s="379"/>
      <c r="I5" s="379"/>
      <c r="J5" s="380"/>
      <c r="K5" s="25" t="s">
        <v>9</v>
      </c>
      <c r="L5" s="23"/>
      <c r="M5" s="29"/>
      <c r="N5" s="287" t="s">
        <v>49</v>
      </c>
      <c r="O5" s="288"/>
      <c r="P5" s="289"/>
      <c r="R5" s="1">
        <v>0</v>
      </c>
      <c r="S5" s="26" t="s">
        <v>9</v>
      </c>
      <c r="T5" s="27">
        <v>0</v>
      </c>
      <c r="U5" s="353" t="s">
        <v>69</v>
      </c>
      <c r="V5" s="354"/>
      <c r="W5" s="28">
        <v>0</v>
      </c>
      <c r="X5" s="28">
        <v>0</v>
      </c>
      <c r="Y5" s="28">
        <v>0</v>
      </c>
      <c r="Z5" s="28">
        <v>0</v>
      </c>
      <c r="AA5" s="353" t="s">
        <v>69</v>
      </c>
      <c r="AB5" s="354"/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9">
        <v>0</v>
      </c>
    </row>
    <row r="6" spans="2:35" ht="15.75" thickBot="1" x14ac:dyDescent="0.3">
      <c r="B6" s="2">
        <v>1</v>
      </c>
      <c r="C6" s="30"/>
      <c r="D6" s="23" t="str">
        <f t="shared" si="0"/>
        <v>00001</v>
      </c>
      <c r="E6" s="369"/>
      <c r="F6" s="364"/>
      <c r="G6" s="364"/>
      <c r="H6" s="364"/>
      <c r="I6" s="364"/>
      <c r="J6" s="365"/>
      <c r="K6" s="31" t="s">
        <v>10</v>
      </c>
      <c r="L6" s="61" t="s">
        <v>131</v>
      </c>
      <c r="M6" s="35"/>
      <c r="N6" s="284" t="s">
        <v>311</v>
      </c>
      <c r="O6" s="285"/>
      <c r="P6" s="286"/>
      <c r="R6" s="2">
        <v>1</v>
      </c>
      <c r="S6" s="32" t="s">
        <v>10</v>
      </c>
      <c r="T6" s="33">
        <v>0</v>
      </c>
      <c r="U6" s="343" t="s">
        <v>69</v>
      </c>
      <c r="V6" s="344"/>
      <c r="W6" s="34">
        <v>0</v>
      </c>
      <c r="X6" s="34">
        <v>0</v>
      </c>
      <c r="Y6" s="34">
        <v>1</v>
      </c>
      <c r="Z6" s="34">
        <v>0</v>
      </c>
      <c r="AA6" s="343" t="s">
        <v>69</v>
      </c>
      <c r="AB6" s="344"/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5">
        <v>0</v>
      </c>
    </row>
    <row r="7" spans="2:35" ht="15.75" thickBot="1" x14ac:dyDescent="0.3">
      <c r="B7" s="2">
        <v>2</v>
      </c>
      <c r="C7" s="158" t="s">
        <v>278</v>
      </c>
      <c r="D7" s="23" t="str">
        <f t="shared" si="0"/>
        <v>00010</v>
      </c>
      <c r="E7" s="33" t="s">
        <v>27</v>
      </c>
      <c r="F7" s="36" t="s">
        <v>28</v>
      </c>
      <c r="G7" s="36" t="s">
        <v>29</v>
      </c>
      <c r="H7" s="363"/>
      <c r="I7" s="364"/>
      <c r="J7" s="365"/>
      <c r="K7" s="25" t="s">
        <v>12</v>
      </c>
      <c r="L7" s="38"/>
      <c r="M7" s="55" t="s">
        <v>131</v>
      </c>
      <c r="N7" s="284" t="s">
        <v>50</v>
      </c>
      <c r="O7" s="285"/>
      <c r="P7" s="286"/>
      <c r="R7" s="2">
        <v>2</v>
      </c>
      <c r="S7" s="23" t="s">
        <v>12</v>
      </c>
      <c r="T7" s="33">
        <v>0</v>
      </c>
      <c r="U7" s="343" t="s">
        <v>69</v>
      </c>
      <c r="V7" s="344"/>
      <c r="W7" s="34">
        <v>0</v>
      </c>
      <c r="X7" s="34">
        <v>1</v>
      </c>
      <c r="Y7" s="34">
        <v>0</v>
      </c>
      <c r="Z7" s="34">
        <v>0</v>
      </c>
      <c r="AA7" s="343" t="s">
        <v>69</v>
      </c>
      <c r="AB7" s="344"/>
      <c r="AC7" s="34">
        <v>0</v>
      </c>
      <c r="AD7" s="34">
        <v>0</v>
      </c>
      <c r="AE7" s="34">
        <v>0</v>
      </c>
      <c r="AF7" s="34">
        <v>0</v>
      </c>
      <c r="AG7" s="34">
        <v>1</v>
      </c>
      <c r="AH7" s="34">
        <v>0</v>
      </c>
      <c r="AI7" s="35">
        <v>0</v>
      </c>
    </row>
    <row r="8" spans="2:35" ht="15.75" thickBot="1" x14ac:dyDescent="0.3">
      <c r="B8" s="2">
        <v>3</v>
      </c>
      <c r="C8" s="158" t="s">
        <v>278</v>
      </c>
      <c r="D8" s="23" t="str">
        <f t="shared" si="0"/>
        <v>00011</v>
      </c>
      <c r="E8" s="33" t="s">
        <v>27</v>
      </c>
      <c r="F8" s="36" t="s">
        <v>28</v>
      </c>
      <c r="G8" s="36" t="s">
        <v>29</v>
      </c>
      <c r="H8" s="363"/>
      <c r="I8" s="364"/>
      <c r="J8" s="365"/>
      <c r="K8" s="37" t="s">
        <v>13</v>
      </c>
      <c r="L8" s="38"/>
      <c r="M8" s="55" t="s">
        <v>131</v>
      </c>
      <c r="N8" s="284" t="s">
        <v>51</v>
      </c>
      <c r="O8" s="285"/>
      <c r="P8" s="286"/>
      <c r="R8" s="2">
        <v>3</v>
      </c>
      <c r="S8" s="38" t="s">
        <v>13</v>
      </c>
      <c r="T8" s="33">
        <v>0</v>
      </c>
      <c r="U8" s="343" t="s">
        <v>69</v>
      </c>
      <c r="V8" s="344"/>
      <c r="W8" s="34">
        <v>0</v>
      </c>
      <c r="X8" s="34">
        <v>1</v>
      </c>
      <c r="Y8" s="34">
        <v>0</v>
      </c>
      <c r="Z8" s="34">
        <v>0</v>
      </c>
      <c r="AA8" s="343" t="s">
        <v>69</v>
      </c>
      <c r="AB8" s="344"/>
      <c r="AC8" s="34">
        <v>0</v>
      </c>
      <c r="AD8" s="34">
        <v>0</v>
      </c>
      <c r="AE8" s="34">
        <v>0</v>
      </c>
      <c r="AF8" s="34">
        <v>0</v>
      </c>
      <c r="AG8" s="34">
        <v>1</v>
      </c>
      <c r="AH8" s="34">
        <v>0</v>
      </c>
      <c r="AI8" s="35">
        <v>0</v>
      </c>
    </row>
    <row r="9" spans="2:35" ht="15.75" thickBot="1" x14ac:dyDescent="0.3">
      <c r="B9" s="1">
        <v>4</v>
      </c>
      <c r="C9" s="158" t="s">
        <v>278</v>
      </c>
      <c r="D9" s="23" t="str">
        <f t="shared" si="0"/>
        <v>00100</v>
      </c>
      <c r="E9" s="33" t="s">
        <v>27</v>
      </c>
      <c r="F9" s="36" t="s">
        <v>28</v>
      </c>
      <c r="G9" s="36" t="s">
        <v>29</v>
      </c>
      <c r="H9" s="363"/>
      <c r="I9" s="364"/>
      <c r="J9" s="365"/>
      <c r="K9" s="37" t="s">
        <v>46</v>
      </c>
      <c r="L9" s="38"/>
      <c r="M9" s="55" t="s">
        <v>131</v>
      </c>
      <c r="N9" s="284" t="s">
        <v>52</v>
      </c>
      <c r="O9" s="285"/>
      <c r="P9" s="286"/>
      <c r="R9" s="1">
        <v>4</v>
      </c>
      <c r="S9" s="38" t="s">
        <v>46</v>
      </c>
      <c r="T9" s="33">
        <v>0</v>
      </c>
      <c r="U9" s="343" t="s">
        <v>69</v>
      </c>
      <c r="V9" s="344"/>
      <c r="W9" s="34">
        <v>0</v>
      </c>
      <c r="X9" s="34">
        <v>1</v>
      </c>
      <c r="Y9" s="34">
        <v>0</v>
      </c>
      <c r="Z9" s="34">
        <v>0</v>
      </c>
      <c r="AA9" s="343" t="s">
        <v>69</v>
      </c>
      <c r="AB9" s="344"/>
      <c r="AC9" s="34">
        <v>0</v>
      </c>
      <c r="AD9" s="34">
        <v>0</v>
      </c>
      <c r="AE9" s="34">
        <v>0</v>
      </c>
      <c r="AF9" s="34">
        <v>0</v>
      </c>
      <c r="AG9" s="34">
        <v>1</v>
      </c>
      <c r="AH9" s="34">
        <v>0</v>
      </c>
      <c r="AI9" s="35">
        <v>0</v>
      </c>
    </row>
    <row r="10" spans="2:35" ht="15.75" thickBot="1" x14ac:dyDescent="0.3">
      <c r="B10" s="2">
        <v>5</v>
      </c>
      <c r="C10" s="158" t="s">
        <v>278</v>
      </c>
      <c r="D10" s="23" t="str">
        <f t="shared" si="0"/>
        <v>00101</v>
      </c>
      <c r="E10" s="33" t="s">
        <v>27</v>
      </c>
      <c r="F10" s="36" t="s">
        <v>28</v>
      </c>
      <c r="G10" s="36" t="s">
        <v>29</v>
      </c>
      <c r="H10" s="363"/>
      <c r="I10" s="364"/>
      <c r="J10" s="365"/>
      <c r="K10" s="37" t="s">
        <v>47</v>
      </c>
      <c r="L10" s="38"/>
      <c r="M10" s="55" t="s">
        <v>131</v>
      </c>
      <c r="N10" s="284" t="s">
        <v>53</v>
      </c>
      <c r="O10" s="285"/>
      <c r="P10" s="286"/>
      <c r="R10" s="2">
        <v>5</v>
      </c>
      <c r="S10" s="38" t="s">
        <v>47</v>
      </c>
      <c r="T10" s="33">
        <v>0</v>
      </c>
      <c r="U10" s="343" t="s">
        <v>69</v>
      </c>
      <c r="V10" s="344"/>
      <c r="W10" s="34">
        <v>0</v>
      </c>
      <c r="X10" s="34">
        <v>1</v>
      </c>
      <c r="Y10" s="34">
        <v>0</v>
      </c>
      <c r="Z10" s="34">
        <v>0</v>
      </c>
      <c r="AA10" s="343" t="s">
        <v>69</v>
      </c>
      <c r="AB10" s="344"/>
      <c r="AC10" s="34">
        <v>0</v>
      </c>
      <c r="AD10" s="34">
        <v>0</v>
      </c>
      <c r="AE10" s="34">
        <v>0</v>
      </c>
      <c r="AF10" s="34">
        <v>0</v>
      </c>
      <c r="AG10" s="34">
        <v>1</v>
      </c>
      <c r="AH10" s="34">
        <v>0</v>
      </c>
      <c r="AI10" s="35">
        <v>0</v>
      </c>
    </row>
    <row r="11" spans="2:35" ht="15.75" thickBot="1" x14ac:dyDescent="0.3">
      <c r="B11" s="2">
        <v>6</v>
      </c>
      <c r="C11" s="158" t="s">
        <v>278</v>
      </c>
      <c r="D11" s="23" t="str">
        <f t="shared" si="0"/>
        <v>00110</v>
      </c>
      <c r="E11" s="33" t="s">
        <v>27</v>
      </c>
      <c r="F11" s="36" t="s">
        <v>28</v>
      </c>
      <c r="G11" s="36" t="s">
        <v>29</v>
      </c>
      <c r="H11" s="363"/>
      <c r="I11" s="364"/>
      <c r="J11" s="365"/>
      <c r="K11" s="37" t="s">
        <v>14</v>
      </c>
      <c r="L11" s="38"/>
      <c r="M11" s="55" t="s">
        <v>131</v>
      </c>
      <c r="N11" s="284" t="s">
        <v>54</v>
      </c>
      <c r="O11" s="285"/>
      <c r="P11" s="286"/>
      <c r="R11" s="2">
        <v>6</v>
      </c>
      <c r="S11" s="38" t="s">
        <v>14</v>
      </c>
      <c r="T11" s="33">
        <v>0</v>
      </c>
      <c r="U11" s="343" t="s">
        <v>69</v>
      </c>
      <c r="V11" s="344"/>
      <c r="W11" s="34">
        <v>0</v>
      </c>
      <c r="X11" s="34">
        <v>1</v>
      </c>
      <c r="Y11" s="34">
        <v>0</v>
      </c>
      <c r="Z11" s="34">
        <v>0</v>
      </c>
      <c r="AA11" s="343" t="s">
        <v>69</v>
      </c>
      <c r="AB11" s="344"/>
      <c r="AC11" s="34">
        <v>0</v>
      </c>
      <c r="AD11" s="34">
        <v>0</v>
      </c>
      <c r="AE11" s="34">
        <v>0</v>
      </c>
      <c r="AF11" s="34">
        <v>0</v>
      </c>
      <c r="AG11" s="34">
        <v>1</v>
      </c>
      <c r="AH11" s="34">
        <v>0</v>
      </c>
      <c r="AI11" s="35">
        <v>0</v>
      </c>
    </row>
    <row r="12" spans="2:35" ht="15.75" thickBot="1" x14ac:dyDescent="0.3">
      <c r="B12" s="2">
        <v>7</v>
      </c>
      <c r="C12" s="158" t="s">
        <v>278</v>
      </c>
      <c r="D12" s="23" t="str">
        <f t="shared" si="0"/>
        <v>00111</v>
      </c>
      <c r="E12" s="33" t="s">
        <v>27</v>
      </c>
      <c r="F12" s="36" t="s">
        <v>28</v>
      </c>
      <c r="G12" s="36" t="s">
        <v>29</v>
      </c>
      <c r="H12" s="363"/>
      <c r="I12" s="364"/>
      <c r="J12" s="365"/>
      <c r="K12" s="37" t="s">
        <v>15</v>
      </c>
      <c r="L12" s="38"/>
      <c r="M12" s="55" t="s">
        <v>131</v>
      </c>
      <c r="N12" s="284" t="s">
        <v>55</v>
      </c>
      <c r="O12" s="285"/>
      <c r="P12" s="286"/>
      <c r="R12" s="2">
        <v>7</v>
      </c>
      <c r="S12" s="38" t="s">
        <v>15</v>
      </c>
      <c r="T12" s="33">
        <v>0</v>
      </c>
      <c r="U12" s="343" t="s">
        <v>69</v>
      </c>
      <c r="V12" s="344"/>
      <c r="W12" s="34">
        <v>0</v>
      </c>
      <c r="X12" s="34">
        <v>1</v>
      </c>
      <c r="Y12" s="34">
        <v>0</v>
      </c>
      <c r="Z12" s="34">
        <v>0</v>
      </c>
      <c r="AA12" s="343" t="s">
        <v>69</v>
      </c>
      <c r="AB12" s="344"/>
      <c r="AC12" s="34">
        <v>0</v>
      </c>
      <c r="AD12" s="34">
        <v>0</v>
      </c>
      <c r="AE12" s="34">
        <v>0</v>
      </c>
      <c r="AF12" s="34">
        <v>0</v>
      </c>
      <c r="AG12" s="34">
        <v>1</v>
      </c>
      <c r="AH12" s="34">
        <v>0</v>
      </c>
      <c r="AI12" s="35">
        <v>0</v>
      </c>
    </row>
    <row r="13" spans="2:35" ht="15.75" thickBot="1" x14ac:dyDescent="0.3">
      <c r="B13" s="1">
        <v>8</v>
      </c>
      <c r="C13" s="158" t="s">
        <v>278</v>
      </c>
      <c r="D13" s="23" t="str">
        <f t="shared" si="0"/>
        <v>01000</v>
      </c>
      <c r="E13" s="33" t="s">
        <v>27</v>
      </c>
      <c r="F13" s="36" t="s">
        <v>28</v>
      </c>
      <c r="G13" s="36" t="s">
        <v>29</v>
      </c>
      <c r="H13" s="363"/>
      <c r="I13" s="364"/>
      <c r="J13" s="365"/>
      <c r="K13" s="37" t="s">
        <v>16</v>
      </c>
      <c r="L13" s="38"/>
      <c r="M13" s="55" t="s">
        <v>131</v>
      </c>
      <c r="N13" s="284" t="s">
        <v>56</v>
      </c>
      <c r="O13" s="285"/>
      <c r="P13" s="286"/>
      <c r="R13" s="1">
        <v>8</v>
      </c>
      <c r="S13" s="38" t="s">
        <v>16</v>
      </c>
      <c r="T13" s="33">
        <v>0</v>
      </c>
      <c r="U13" s="343" t="s">
        <v>69</v>
      </c>
      <c r="V13" s="344"/>
      <c r="W13" s="34">
        <v>0</v>
      </c>
      <c r="X13" s="34">
        <v>1</v>
      </c>
      <c r="Y13" s="34">
        <v>0</v>
      </c>
      <c r="Z13" s="34">
        <v>0</v>
      </c>
      <c r="AA13" s="343" t="s">
        <v>69</v>
      </c>
      <c r="AB13" s="344"/>
      <c r="AC13" s="34">
        <v>0</v>
      </c>
      <c r="AD13" s="34">
        <v>0</v>
      </c>
      <c r="AE13" s="34">
        <v>0</v>
      </c>
      <c r="AF13" s="34">
        <v>0</v>
      </c>
      <c r="AG13" s="34">
        <v>1</v>
      </c>
      <c r="AH13" s="34">
        <v>0</v>
      </c>
      <c r="AI13" s="35">
        <v>0</v>
      </c>
    </row>
    <row r="14" spans="2:35" ht="15.75" thickBot="1" x14ac:dyDescent="0.3">
      <c r="B14" s="2">
        <v>9</v>
      </c>
      <c r="C14" s="158" t="s">
        <v>278</v>
      </c>
      <c r="D14" s="23" t="str">
        <f t="shared" si="0"/>
        <v>01001</v>
      </c>
      <c r="E14" s="33" t="s">
        <v>27</v>
      </c>
      <c r="F14" s="36" t="s">
        <v>28</v>
      </c>
      <c r="G14" s="36" t="s">
        <v>29</v>
      </c>
      <c r="H14" s="363"/>
      <c r="I14" s="364"/>
      <c r="J14" s="365"/>
      <c r="K14" s="37" t="s">
        <v>17</v>
      </c>
      <c r="L14" s="38"/>
      <c r="M14" s="55" t="s">
        <v>131</v>
      </c>
      <c r="N14" s="284" t="s">
        <v>312</v>
      </c>
      <c r="O14" s="285"/>
      <c r="P14" s="286"/>
      <c r="R14" s="2">
        <v>9</v>
      </c>
      <c r="S14" s="38" t="s">
        <v>17</v>
      </c>
      <c r="T14" s="33">
        <v>0</v>
      </c>
      <c r="U14" s="343" t="s">
        <v>69</v>
      </c>
      <c r="V14" s="344"/>
      <c r="W14" s="34">
        <v>0</v>
      </c>
      <c r="X14" s="34">
        <v>1</v>
      </c>
      <c r="Y14" s="34">
        <v>0</v>
      </c>
      <c r="Z14" s="34">
        <v>0</v>
      </c>
      <c r="AA14" s="343" t="s">
        <v>69</v>
      </c>
      <c r="AB14" s="344"/>
      <c r="AC14" s="34">
        <v>0</v>
      </c>
      <c r="AD14" s="34">
        <v>0</v>
      </c>
      <c r="AE14" s="34">
        <v>0</v>
      </c>
      <c r="AF14" s="34">
        <v>0</v>
      </c>
      <c r="AG14" s="34">
        <v>1</v>
      </c>
      <c r="AH14" s="34">
        <v>0</v>
      </c>
      <c r="AI14" s="35">
        <v>0</v>
      </c>
    </row>
    <row r="15" spans="2:35" ht="15.75" thickBot="1" x14ac:dyDescent="0.3">
      <c r="B15" s="2">
        <v>10</v>
      </c>
      <c r="C15" s="158" t="s">
        <v>278</v>
      </c>
      <c r="D15" s="23" t="str">
        <f t="shared" si="0"/>
        <v>01010</v>
      </c>
      <c r="E15" s="33" t="s">
        <v>27</v>
      </c>
      <c r="F15" s="36" t="s">
        <v>28</v>
      </c>
      <c r="G15" s="36" t="s">
        <v>29</v>
      </c>
      <c r="H15" s="363"/>
      <c r="I15" s="364"/>
      <c r="J15" s="365"/>
      <c r="K15" s="31" t="s">
        <v>18</v>
      </c>
      <c r="L15" s="38"/>
      <c r="M15" s="55" t="s">
        <v>131</v>
      </c>
      <c r="N15" s="284" t="s">
        <v>313</v>
      </c>
      <c r="O15" s="285"/>
      <c r="P15" s="286"/>
      <c r="R15" s="2">
        <v>10</v>
      </c>
      <c r="S15" s="39" t="s">
        <v>18</v>
      </c>
      <c r="T15" s="33">
        <v>0</v>
      </c>
      <c r="U15" s="343" t="s">
        <v>69</v>
      </c>
      <c r="V15" s="344"/>
      <c r="W15" s="34">
        <v>0</v>
      </c>
      <c r="X15" s="34">
        <v>1</v>
      </c>
      <c r="Y15" s="34">
        <v>0</v>
      </c>
      <c r="Z15" s="34">
        <v>0</v>
      </c>
      <c r="AA15" s="343" t="s">
        <v>69</v>
      </c>
      <c r="AB15" s="344"/>
      <c r="AC15" s="34">
        <v>0</v>
      </c>
      <c r="AD15" s="34">
        <v>0</v>
      </c>
      <c r="AE15" s="34">
        <v>0</v>
      </c>
      <c r="AF15" s="34">
        <v>0</v>
      </c>
      <c r="AG15" s="34">
        <v>1</v>
      </c>
      <c r="AH15" s="34">
        <v>0</v>
      </c>
      <c r="AI15" s="35">
        <v>0</v>
      </c>
    </row>
    <row r="16" spans="2:35" ht="15.75" thickBot="1" x14ac:dyDescent="0.3">
      <c r="B16" s="2">
        <v>11</v>
      </c>
      <c r="C16" s="158" t="s">
        <v>278</v>
      </c>
      <c r="D16" s="23" t="str">
        <f t="shared" si="0"/>
        <v>01011</v>
      </c>
      <c r="E16" s="33" t="s">
        <v>27</v>
      </c>
      <c r="F16" s="363"/>
      <c r="G16" s="364"/>
      <c r="H16" s="364"/>
      <c r="I16" s="364"/>
      <c r="J16" s="365"/>
      <c r="K16" s="40" t="s">
        <v>48</v>
      </c>
      <c r="L16" s="43"/>
      <c r="M16" s="35"/>
      <c r="N16" s="284" t="s">
        <v>314</v>
      </c>
      <c r="O16" s="285"/>
      <c r="P16" s="286"/>
      <c r="R16" s="2">
        <v>11</v>
      </c>
      <c r="S16" s="41" t="s">
        <v>48</v>
      </c>
      <c r="T16" s="33">
        <v>0</v>
      </c>
      <c r="U16" s="343" t="s">
        <v>69</v>
      </c>
      <c r="V16" s="344"/>
      <c r="W16" s="34">
        <v>0</v>
      </c>
      <c r="X16" s="34">
        <v>1</v>
      </c>
      <c r="Y16" s="34">
        <v>0</v>
      </c>
      <c r="Z16" s="34">
        <v>0</v>
      </c>
      <c r="AA16" s="343" t="s">
        <v>69</v>
      </c>
      <c r="AB16" s="344"/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5">
        <v>1</v>
      </c>
    </row>
    <row r="17" spans="2:35" ht="15.75" thickBot="1" x14ac:dyDescent="0.3">
      <c r="B17" s="2">
        <v>12</v>
      </c>
      <c r="C17" s="158" t="s">
        <v>279</v>
      </c>
      <c r="D17" s="23" t="str">
        <f t="shared" si="0"/>
        <v>01100</v>
      </c>
      <c r="E17" s="33" t="s">
        <v>27</v>
      </c>
      <c r="F17" s="42"/>
      <c r="G17" s="370" t="s">
        <v>72</v>
      </c>
      <c r="H17" s="285"/>
      <c r="I17" s="285"/>
      <c r="J17" s="286"/>
      <c r="K17" s="25" t="s">
        <v>19</v>
      </c>
      <c r="L17" s="43"/>
      <c r="M17" s="35"/>
      <c r="N17" s="284" t="s">
        <v>60</v>
      </c>
      <c r="O17" s="285"/>
      <c r="P17" s="286"/>
      <c r="R17" s="2">
        <v>12</v>
      </c>
      <c r="S17" s="23" t="s">
        <v>19</v>
      </c>
      <c r="T17" s="33">
        <v>0</v>
      </c>
      <c r="U17" s="343" t="s">
        <v>69</v>
      </c>
      <c r="V17" s="344"/>
      <c r="W17" s="34">
        <v>0</v>
      </c>
      <c r="X17" s="34">
        <v>1</v>
      </c>
      <c r="Y17" s="34">
        <v>0</v>
      </c>
      <c r="Z17" s="34">
        <v>0</v>
      </c>
      <c r="AA17" s="343" t="s">
        <v>69</v>
      </c>
      <c r="AB17" s="344"/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1</v>
      </c>
      <c r="AI17" s="35">
        <v>0</v>
      </c>
    </row>
    <row r="18" spans="2:35" ht="15.75" thickBot="1" x14ac:dyDescent="0.3">
      <c r="B18" s="2">
        <v>13</v>
      </c>
      <c r="C18" s="158" t="s">
        <v>278</v>
      </c>
      <c r="D18" s="23" t="str">
        <f t="shared" si="0"/>
        <v>01101</v>
      </c>
      <c r="E18" s="33" t="s">
        <v>27</v>
      </c>
      <c r="F18" s="42"/>
      <c r="G18" s="370" t="s">
        <v>72</v>
      </c>
      <c r="H18" s="285"/>
      <c r="I18" s="285"/>
      <c r="J18" s="286"/>
      <c r="K18" s="40" t="s">
        <v>20</v>
      </c>
      <c r="L18" s="43"/>
      <c r="M18" s="55" t="s">
        <v>131</v>
      </c>
      <c r="N18" s="284" t="s">
        <v>57</v>
      </c>
      <c r="O18" s="285"/>
      <c r="P18" s="286"/>
      <c r="R18" s="2">
        <v>13</v>
      </c>
      <c r="S18" s="41" t="s">
        <v>20</v>
      </c>
      <c r="T18" s="33">
        <v>0</v>
      </c>
      <c r="U18" s="343" t="s">
        <v>69</v>
      </c>
      <c r="V18" s="344"/>
      <c r="W18" s="34">
        <v>0</v>
      </c>
      <c r="X18" s="34">
        <v>1</v>
      </c>
      <c r="Y18" s="34">
        <v>0</v>
      </c>
      <c r="Z18" s="34">
        <v>0</v>
      </c>
      <c r="AA18" s="343" t="s">
        <v>69</v>
      </c>
      <c r="AB18" s="344"/>
      <c r="AC18" s="34">
        <v>0</v>
      </c>
      <c r="AD18" s="34">
        <v>0</v>
      </c>
      <c r="AE18" s="34">
        <v>0</v>
      </c>
      <c r="AF18" s="34">
        <v>0</v>
      </c>
      <c r="AG18" s="34">
        <v>1</v>
      </c>
      <c r="AH18" s="34">
        <v>1</v>
      </c>
      <c r="AI18" s="35">
        <v>0</v>
      </c>
    </row>
    <row r="19" spans="2:35" ht="15.75" thickBot="1" x14ac:dyDescent="0.3">
      <c r="B19" s="2">
        <v>14</v>
      </c>
      <c r="C19" s="48"/>
      <c r="D19" s="23" t="str">
        <f t="shared" si="0"/>
        <v>01110</v>
      </c>
      <c r="E19" s="60"/>
      <c r="F19" s="34" t="s">
        <v>28</v>
      </c>
      <c r="G19" s="363"/>
      <c r="H19" s="364"/>
      <c r="I19" s="364"/>
      <c r="J19" s="365"/>
      <c r="K19" s="25" t="s">
        <v>21</v>
      </c>
      <c r="L19" s="43"/>
      <c r="M19" s="35"/>
      <c r="N19" s="284" t="s">
        <v>315</v>
      </c>
      <c r="O19" s="285"/>
      <c r="P19" s="286"/>
      <c r="R19" s="2">
        <v>14</v>
      </c>
      <c r="S19" s="23" t="s">
        <v>21</v>
      </c>
      <c r="T19" s="33">
        <v>0</v>
      </c>
      <c r="U19" s="343" t="s">
        <v>69</v>
      </c>
      <c r="V19" s="344"/>
      <c r="W19" s="34">
        <v>0</v>
      </c>
      <c r="X19" s="34">
        <v>0</v>
      </c>
      <c r="Y19" s="34">
        <v>0</v>
      </c>
      <c r="Z19" s="34">
        <v>0</v>
      </c>
      <c r="AA19" s="343" t="s">
        <v>69</v>
      </c>
      <c r="AB19" s="344"/>
      <c r="AC19" s="34">
        <v>0</v>
      </c>
      <c r="AD19" s="34">
        <v>0</v>
      </c>
      <c r="AE19" s="34">
        <v>1</v>
      </c>
      <c r="AF19" s="34">
        <v>0</v>
      </c>
      <c r="AG19" s="34">
        <v>0</v>
      </c>
      <c r="AH19" s="34">
        <v>0</v>
      </c>
      <c r="AI19" s="35">
        <v>0</v>
      </c>
    </row>
    <row r="20" spans="2:35" ht="15.75" thickBot="1" x14ac:dyDescent="0.3">
      <c r="B20" s="2">
        <v>15</v>
      </c>
      <c r="C20" s="48"/>
      <c r="D20" s="23" t="str">
        <f t="shared" si="0"/>
        <v>01111</v>
      </c>
      <c r="E20" s="38" t="s">
        <v>30</v>
      </c>
      <c r="F20" s="34" t="s">
        <v>28</v>
      </c>
      <c r="G20" s="363"/>
      <c r="H20" s="364"/>
      <c r="I20" s="364"/>
      <c r="J20" s="365"/>
      <c r="K20" s="37" t="s">
        <v>22</v>
      </c>
      <c r="L20" s="43"/>
      <c r="M20" s="35"/>
      <c r="N20" s="284" t="s">
        <v>316</v>
      </c>
      <c r="O20" s="285"/>
      <c r="P20" s="286"/>
      <c r="R20" s="2">
        <v>15</v>
      </c>
      <c r="S20" s="38" t="s">
        <v>22</v>
      </c>
      <c r="T20" s="33">
        <v>0</v>
      </c>
      <c r="U20" s="343" t="s">
        <v>69</v>
      </c>
      <c r="V20" s="344"/>
      <c r="W20" s="34">
        <v>0</v>
      </c>
      <c r="X20" s="34">
        <v>0</v>
      </c>
      <c r="Y20" s="34">
        <v>0</v>
      </c>
      <c r="Z20" s="34">
        <v>0</v>
      </c>
      <c r="AA20" s="343" t="s">
        <v>69</v>
      </c>
      <c r="AB20" s="344"/>
      <c r="AC20" s="34">
        <v>0</v>
      </c>
      <c r="AD20" s="34">
        <v>1</v>
      </c>
      <c r="AE20" s="34">
        <v>0</v>
      </c>
      <c r="AF20" s="34">
        <v>0</v>
      </c>
      <c r="AG20" s="34">
        <v>0</v>
      </c>
      <c r="AH20" s="34">
        <v>0</v>
      </c>
      <c r="AI20" s="35">
        <v>0</v>
      </c>
    </row>
    <row r="21" spans="2:35" ht="15.75" thickBot="1" x14ac:dyDescent="0.3">
      <c r="B21" s="2">
        <v>16</v>
      </c>
      <c r="C21" s="38" t="s">
        <v>280</v>
      </c>
      <c r="D21" s="23" t="str">
        <f t="shared" si="0"/>
        <v>10000</v>
      </c>
      <c r="E21" s="60"/>
      <c r="F21" s="34" t="s">
        <v>28</v>
      </c>
      <c r="G21" s="363"/>
      <c r="H21" s="364"/>
      <c r="I21" s="364"/>
      <c r="J21" s="365"/>
      <c r="K21" s="44" t="s">
        <v>23</v>
      </c>
      <c r="L21" s="38"/>
      <c r="M21" s="35"/>
      <c r="N21" s="284" t="s">
        <v>58</v>
      </c>
      <c r="O21" s="285"/>
      <c r="P21" s="286"/>
      <c r="R21" s="2">
        <v>16</v>
      </c>
      <c r="S21" s="45" t="s">
        <v>23</v>
      </c>
      <c r="T21" s="33">
        <v>0</v>
      </c>
      <c r="U21" s="343" t="s">
        <v>88</v>
      </c>
      <c r="V21" s="344"/>
      <c r="W21" s="34">
        <v>0</v>
      </c>
      <c r="X21" s="34">
        <v>1</v>
      </c>
      <c r="Y21" s="34">
        <v>0</v>
      </c>
      <c r="Z21" s="34">
        <v>0</v>
      </c>
      <c r="AA21" s="343" t="s">
        <v>90</v>
      </c>
      <c r="AB21" s="344"/>
      <c r="AC21" s="34">
        <v>0</v>
      </c>
      <c r="AD21" s="34">
        <v>0</v>
      </c>
      <c r="AE21" s="34">
        <v>0</v>
      </c>
      <c r="AF21" s="34">
        <v>1</v>
      </c>
      <c r="AG21" s="34">
        <v>0</v>
      </c>
      <c r="AH21" s="34">
        <v>0</v>
      </c>
      <c r="AI21" s="35">
        <v>0</v>
      </c>
    </row>
    <row r="22" spans="2:35" ht="15.75" thickBot="1" x14ac:dyDescent="0.3">
      <c r="B22" s="2">
        <v>17</v>
      </c>
      <c r="C22" s="38" t="s">
        <v>280</v>
      </c>
      <c r="D22" s="23" t="str">
        <f t="shared" si="0"/>
        <v>10001</v>
      </c>
      <c r="E22" s="369"/>
      <c r="F22" s="364"/>
      <c r="G22" s="364"/>
      <c r="H22" s="364"/>
      <c r="I22" s="364"/>
      <c r="J22" s="365"/>
      <c r="K22" s="40" t="s">
        <v>24</v>
      </c>
      <c r="L22" s="38"/>
      <c r="M22" s="35"/>
      <c r="N22" s="284" t="s">
        <v>59</v>
      </c>
      <c r="O22" s="285"/>
      <c r="P22" s="286"/>
      <c r="R22" s="2">
        <v>17</v>
      </c>
      <c r="S22" s="41" t="s">
        <v>24</v>
      </c>
      <c r="T22" s="33">
        <v>0</v>
      </c>
      <c r="U22" s="343" t="s">
        <v>88</v>
      </c>
      <c r="V22" s="344"/>
      <c r="W22" s="34">
        <v>0</v>
      </c>
      <c r="X22" s="34">
        <v>1</v>
      </c>
      <c r="Y22" s="34">
        <v>0</v>
      </c>
      <c r="Z22" s="34">
        <v>1</v>
      </c>
      <c r="AA22" s="343" t="s">
        <v>88</v>
      </c>
      <c r="AB22" s="344"/>
      <c r="AC22" s="34">
        <v>0</v>
      </c>
      <c r="AD22" s="34">
        <v>0</v>
      </c>
      <c r="AE22" s="34">
        <v>0</v>
      </c>
      <c r="AF22" s="34">
        <v>1</v>
      </c>
      <c r="AG22" s="34">
        <v>0</v>
      </c>
      <c r="AH22" s="34">
        <v>0</v>
      </c>
      <c r="AI22" s="35">
        <v>0</v>
      </c>
    </row>
    <row r="23" spans="2:35" ht="15.75" thickBot="1" x14ac:dyDescent="0.3">
      <c r="B23" s="2">
        <v>18</v>
      </c>
      <c r="C23" s="38" t="s">
        <v>277</v>
      </c>
      <c r="D23" s="23" t="str">
        <f t="shared" si="0"/>
        <v>10010</v>
      </c>
      <c r="E23" s="33" t="s">
        <v>27</v>
      </c>
      <c r="F23" s="34" t="s">
        <v>28</v>
      </c>
      <c r="G23" s="370" t="s">
        <v>73</v>
      </c>
      <c r="H23" s="285"/>
      <c r="I23" s="285"/>
      <c r="J23" s="286"/>
      <c r="K23" s="44" t="s">
        <v>25</v>
      </c>
      <c r="L23" s="38"/>
      <c r="M23" s="35"/>
      <c r="N23" s="284" t="s">
        <v>78</v>
      </c>
      <c r="O23" s="285"/>
      <c r="P23" s="286"/>
      <c r="R23" s="2">
        <v>18</v>
      </c>
      <c r="S23" s="26" t="s">
        <v>25</v>
      </c>
      <c r="T23" s="33">
        <v>0</v>
      </c>
      <c r="U23" s="343" t="s">
        <v>89</v>
      </c>
      <c r="V23" s="344"/>
      <c r="W23" s="34">
        <v>0</v>
      </c>
      <c r="X23" s="34">
        <v>1</v>
      </c>
      <c r="Y23" s="34">
        <v>0</v>
      </c>
      <c r="Z23" s="34">
        <v>0</v>
      </c>
      <c r="AA23" s="343" t="s">
        <v>88</v>
      </c>
      <c r="AB23" s="344"/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1</v>
      </c>
      <c r="AI23" s="35">
        <v>0</v>
      </c>
    </row>
    <row r="24" spans="2:35" ht="15.75" thickBot="1" x14ac:dyDescent="0.3">
      <c r="B24" s="2">
        <v>19</v>
      </c>
      <c r="C24" s="38" t="s">
        <v>277</v>
      </c>
      <c r="D24" s="23" t="str">
        <f t="shared" si="0"/>
        <v>10011</v>
      </c>
      <c r="E24" s="46" t="s">
        <v>27</v>
      </c>
      <c r="F24" s="47" t="s">
        <v>28</v>
      </c>
      <c r="G24" s="370" t="s">
        <v>73</v>
      </c>
      <c r="H24" s="285"/>
      <c r="I24" s="285"/>
      <c r="J24" s="286"/>
      <c r="K24" s="31" t="s">
        <v>26</v>
      </c>
      <c r="L24" s="39"/>
      <c r="M24" s="56"/>
      <c r="N24" s="284" t="s">
        <v>77</v>
      </c>
      <c r="O24" s="285"/>
      <c r="P24" s="286"/>
      <c r="R24" s="2">
        <v>19</v>
      </c>
      <c r="S24" s="32" t="s">
        <v>26</v>
      </c>
      <c r="T24" s="33">
        <v>0</v>
      </c>
      <c r="U24" s="343" t="s">
        <v>69</v>
      </c>
      <c r="V24" s="344"/>
      <c r="W24" s="34">
        <v>0</v>
      </c>
      <c r="X24" s="34">
        <v>0</v>
      </c>
      <c r="Y24" s="34">
        <v>0</v>
      </c>
      <c r="Z24" s="34">
        <v>0</v>
      </c>
      <c r="AA24" s="343" t="s">
        <v>90</v>
      </c>
      <c r="AB24" s="344"/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1</v>
      </c>
      <c r="AI24" s="35">
        <v>0</v>
      </c>
    </row>
    <row r="25" spans="2:35" ht="15.75" thickBot="1" x14ac:dyDescent="0.3">
      <c r="B25" s="2">
        <v>20</v>
      </c>
      <c r="C25" s="48"/>
      <c r="D25" s="23" t="str">
        <f t="shared" si="0"/>
        <v>10100</v>
      </c>
      <c r="E25" s="46" t="s">
        <v>42</v>
      </c>
      <c r="F25" s="47" t="s">
        <v>27</v>
      </c>
      <c r="G25" s="363"/>
      <c r="H25" s="364"/>
      <c r="I25" s="364"/>
      <c r="J25" s="365"/>
      <c r="K25" s="49" t="s">
        <v>38</v>
      </c>
      <c r="L25" s="57" t="s">
        <v>131</v>
      </c>
      <c r="M25" s="56"/>
      <c r="N25" s="284" t="s">
        <v>40</v>
      </c>
      <c r="O25" s="285"/>
      <c r="P25" s="286"/>
      <c r="R25" s="2">
        <v>20</v>
      </c>
      <c r="S25" s="50" t="s">
        <v>38</v>
      </c>
      <c r="T25" s="33">
        <v>1</v>
      </c>
      <c r="U25" s="343" t="s">
        <v>69</v>
      </c>
      <c r="V25" s="344"/>
      <c r="W25" s="34">
        <v>0</v>
      </c>
      <c r="X25" s="34">
        <v>1</v>
      </c>
      <c r="Y25" s="34">
        <v>0</v>
      </c>
      <c r="Z25" s="34">
        <v>0</v>
      </c>
      <c r="AA25" s="343" t="s">
        <v>69</v>
      </c>
      <c r="AB25" s="344"/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5">
        <v>0</v>
      </c>
    </row>
    <row r="26" spans="2:35" ht="15.75" thickBot="1" x14ac:dyDescent="0.3">
      <c r="B26" s="2">
        <v>21</v>
      </c>
      <c r="C26" s="48"/>
      <c r="D26" s="23" t="str">
        <f t="shared" si="0"/>
        <v>10101</v>
      </c>
      <c r="E26" s="46" t="s">
        <v>27</v>
      </c>
      <c r="F26" s="47" t="s">
        <v>42</v>
      </c>
      <c r="G26" s="363"/>
      <c r="H26" s="364"/>
      <c r="I26" s="364"/>
      <c r="J26" s="365"/>
      <c r="K26" s="31" t="s">
        <v>39</v>
      </c>
      <c r="L26" s="57" t="s">
        <v>131</v>
      </c>
      <c r="M26" s="56"/>
      <c r="N26" s="284" t="s">
        <v>41</v>
      </c>
      <c r="O26" s="285"/>
      <c r="P26" s="286"/>
      <c r="R26" s="2">
        <v>21</v>
      </c>
      <c r="S26" s="39" t="s">
        <v>39</v>
      </c>
      <c r="T26" s="33">
        <v>0</v>
      </c>
      <c r="U26" s="343" t="s">
        <v>69</v>
      </c>
      <c r="V26" s="344"/>
      <c r="W26" s="34">
        <v>1</v>
      </c>
      <c r="X26" s="34">
        <v>0</v>
      </c>
      <c r="Y26" s="34">
        <v>0</v>
      </c>
      <c r="Z26" s="34">
        <v>0</v>
      </c>
      <c r="AA26" s="343" t="s">
        <v>69</v>
      </c>
      <c r="AB26" s="344"/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5">
        <v>0</v>
      </c>
    </row>
    <row r="27" spans="2:35" ht="15.75" thickBot="1" x14ac:dyDescent="0.3">
      <c r="B27" s="3">
        <v>22</v>
      </c>
      <c r="C27" s="48"/>
      <c r="D27" s="23" t="str">
        <f t="shared" si="0"/>
        <v>10110</v>
      </c>
      <c r="E27" s="369"/>
      <c r="F27" s="364"/>
      <c r="G27" s="364"/>
      <c r="H27" s="364"/>
      <c r="I27" s="364"/>
      <c r="J27" s="365"/>
      <c r="K27" s="25" t="s">
        <v>43</v>
      </c>
      <c r="L27" s="39"/>
      <c r="M27" s="56"/>
      <c r="N27" s="284" t="s">
        <v>45</v>
      </c>
      <c r="O27" s="285"/>
      <c r="P27" s="286"/>
      <c r="R27" s="3">
        <v>22</v>
      </c>
      <c r="S27" s="23" t="s">
        <v>43</v>
      </c>
      <c r="T27" s="33">
        <v>0</v>
      </c>
      <c r="U27" s="343" t="s">
        <v>69</v>
      </c>
      <c r="V27" s="344"/>
      <c r="W27" s="34">
        <v>0</v>
      </c>
      <c r="X27" s="34">
        <v>0</v>
      </c>
      <c r="Y27" s="34">
        <v>0</v>
      </c>
      <c r="Z27" s="34">
        <v>0</v>
      </c>
      <c r="AA27" s="343" t="s">
        <v>69</v>
      </c>
      <c r="AB27" s="344"/>
      <c r="AC27" s="34">
        <v>1</v>
      </c>
      <c r="AD27" s="34">
        <v>0</v>
      </c>
      <c r="AE27" s="34">
        <v>1</v>
      </c>
      <c r="AF27" s="34">
        <v>0</v>
      </c>
      <c r="AG27" s="34">
        <v>0</v>
      </c>
      <c r="AH27" s="34">
        <v>0</v>
      </c>
      <c r="AI27" s="35">
        <v>0</v>
      </c>
    </row>
    <row r="28" spans="2:35" ht="15.75" thickBot="1" x14ac:dyDescent="0.3">
      <c r="B28" s="4">
        <v>23</v>
      </c>
      <c r="C28" s="51"/>
      <c r="D28" s="59" t="str">
        <f t="shared" si="0"/>
        <v>10111</v>
      </c>
      <c r="E28" s="366"/>
      <c r="F28" s="367"/>
      <c r="G28" s="367"/>
      <c r="H28" s="367"/>
      <c r="I28" s="367"/>
      <c r="J28" s="368"/>
      <c r="K28" s="52" t="s">
        <v>44</v>
      </c>
      <c r="L28" s="58" t="s">
        <v>131</v>
      </c>
      <c r="M28" s="14"/>
      <c r="N28" s="281" t="s">
        <v>317</v>
      </c>
      <c r="O28" s="282"/>
      <c r="P28" s="283"/>
      <c r="R28" s="4">
        <v>23</v>
      </c>
      <c r="S28" s="53" t="s">
        <v>44</v>
      </c>
      <c r="T28" s="12">
        <v>0</v>
      </c>
      <c r="U28" s="345" t="s">
        <v>69</v>
      </c>
      <c r="V28" s="346"/>
      <c r="W28" s="54">
        <v>0</v>
      </c>
      <c r="X28" s="54">
        <v>0</v>
      </c>
      <c r="Y28" s="54">
        <v>0</v>
      </c>
      <c r="Z28" s="54">
        <v>0</v>
      </c>
      <c r="AA28" s="345" t="s">
        <v>69</v>
      </c>
      <c r="AB28" s="346"/>
      <c r="AC28" s="13">
        <v>1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4">
        <v>0</v>
      </c>
    </row>
    <row r="29" spans="2:35" ht="15.75" thickBot="1" x14ac:dyDescent="0.3"/>
    <row r="30" spans="2:35" ht="21.75" customHeight="1" thickBot="1" x14ac:dyDescent="0.3">
      <c r="B30" s="66" t="s">
        <v>80</v>
      </c>
      <c r="C30" s="6" t="str">
        <f>DEC2BIN(B5,2)</f>
        <v>00</v>
      </c>
      <c r="D30" s="7" t="str">
        <f>DEC2BIN(B6,2)</f>
        <v>01</v>
      </c>
      <c r="E30" s="7" t="str">
        <f>DEC2BIN(B7,2)</f>
        <v>10</v>
      </c>
      <c r="F30" s="8" t="str">
        <f>DEC2BIN(B8,2)</f>
        <v>11</v>
      </c>
      <c r="H30" s="66" t="s">
        <v>148</v>
      </c>
      <c r="I30" s="73">
        <v>7</v>
      </c>
      <c r="J30" s="74">
        <v>6</v>
      </c>
      <c r="K30" s="74">
        <v>5</v>
      </c>
      <c r="L30" s="74">
        <v>4</v>
      </c>
      <c r="M30" s="74">
        <v>3</v>
      </c>
      <c r="N30" s="74">
        <v>2</v>
      </c>
      <c r="O30" s="74">
        <v>1</v>
      </c>
      <c r="P30" s="72">
        <v>0</v>
      </c>
      <c r="R30" s="71" t="s">
        <v>131</v>
      </c>
      <c r="S30" s="75" t="s">
        <v>132</v>
      </c>
      <c r="T30" s="395" t="s">
        <v>133</v>
      </c>
      <c r="U30" s="395"/>
      <c r="V30" s="395"/>
      <c r="W30" s="395"/>
      <c r="X30" s="395"/>
      <c r="Y30" s="395"/>
      <c r="Z30" s="395"/>
      <c r="AA30" s="395"/>
      <c r="AB30" s="395"/>
      <c r="AC30" s="355"/>
      <c r="AE30" s="273" t="s">
        <v>422</v>
      </c>
      <c r="AF30" s="274"/>
      <c r="AG30" s="273" t="s">
        <v>423</v>
      </c>
      <c r="AH30" s="274"/>
      <c r="AI30" s="275"/>
    </row>
    <row r="31" spans="2:35" ht="35.25" customHeight="1" thickBot="1" x14ac:dyDescent="0.3">
      <c r="B31" s="67" t="s">
        <v>68</v>
      </c>
      <c r="C31" s="62" t="s">
        <v>81</v>
      </c>
      <c r="D31" s="10" t="s">
        <v>81</v>
      </c>
      <c r="E31" s="10" t="s">
        <v>82</v>
      </c>
      <c r="F31" s="11" t="s">
        <v>83</v>
      </c>
      <c r="H31" s="77" t="s">
        <v>61</v>
      </c>
      <c r="I31" s="78"/>
      <c r="J31" s="79"/>
      <c r="K31" s="79"/>
      <c r="L31" s="79"/>
      <c r="M31" s="79"/>
      <c r="N31" s="79" t="s">
        <v>295</v>
      </c>
      <c r="O31" s="79" t="s">
        <v>151</v>
      </c>
      <c r="P31" s="80" t="s">
        <v>150</v>
      </c>
      <c r="R31" s="67">
        <v>0</v>
      </c>
      <c r="S31" s="25" t="s">
        <v>134</v>
      </c>
      <c r="T31" s="287" t="s">
        <v>138</v>
      </c>
      <c r="U31" s="288"/>
      <c r="V31" s="288"/>
      <c r="W31" s="288"/>
      <c r="X31" s="288"/>
      <c r="Y31" s="288"/>
      <c r="Z31" s="288"/>
      <c r="AA31" s="288"/>
      <c r="AB31" s="288"/>
      <c r="AC31" s="289"/>
      <c r="AE31" s="390">
        <v>2</v>
      </c>
      <c r="AF31" s="391"/>
      <c r="AG31" s="392" t="str" cm="1">
        <f t="array" ref="AG31">_xlfn.TEXTJOIN(", ", TRUE, _xlfn._xlws.FILTER(S5:S28, (T5:T28 &amp; TEXT(U5:U28, "00") &amp; W5:W28 &amp; X5:X28 &amp; Y5:Y28 &amp; Z5:Z28 &amp; TEXT(AA5:AA28, "00") &amp; AC5:AC28 &amp; AD5:AD28 &amp; AE5:AE28 &amp; AF5:AF28 &amp; AG5:AG28 &amp; AH5:AH28 &amp; AI5:AI28) = _xlfn.BASE(HEX2DEC(AE31), 2, 16), "No encontrado"))</f>
        <v>No encontrado</v>
      </c>
      <c r="AH31" s="393"/>
      <c r="AI31" s="394"/>
    </row>
    <row r="32" spans="2:35" ht="22.5" customHeight="1" thickBot="1" x14ac:dyDescent="0.3">
      <c r="B32" s="4" t="s">
        <v>71</v>
      </c>
      <c r="C32" s="65" t="s">
        <v>86</v>
      </c>
      <c r="D32" s="13" t="s">
        <v>87</v>
      </c>
      <c r="E32" s="13" t="s">
        <v>84</v>
      </c>
      <c r="F32" s="14" t="s">
        <v>85</v>
      </c>
      <c r="R32" s="2">
        <v>1</v>
      </c>
      <c r="S32" s="37" t="s">
        <v>64</v>
      </c>
      <c r="T32" s="284" t="s">
        <v>139</v>
      </c>
      <c r="U32" s="285"/>
      <c r="V32" s="285"/>
      <c r="W32" s="285"/>
      <c r="X32" s="285"/>
      <c r="Y32" s="285"/>
      <c r="Z32" s="285"/>
      <c r="AA32" s="285"/>
      <c r="AB32" s="285"/>
      <c r="AC32" s="286"/>
    </row>
    <row r="33" spans="2:29" ht="33.75" customHeight="1" thickBot="1" x14ac:dyDescent="0.3">
      <c r="H33" s="84" t="s">
        <v>165</v>
      </c>
      <c r="I33" s="73">
        <v>7</v>
      </c>
      <c r="J33" s="74">
        <v>6</v>
      </c>
      <c r="K33" s="74">
        <v>5</v>
      </c>
      <c r="L33" s="74">
        <v>4</v>
      </c>
      <c r="M33" s="74">
        <v>3</v>
      </c>
      <c r="N33" s="74">
        <v>2</v>
      </c>
      <c r="O33" s="74">
        <v>1</v>
      </c>
      <c r="P33" s="72">
        <v>0</v>
      </c>
      <c r="R33" s="2">
        <v>2</v>
      </c>
      <c r="S33" s="37" t="s">
        <v>135</v>
      </c>
      <c r="T33" s="284" t="s">
        <v>140</v>
      </c>
      <c r="U33" s="285"/>
      <c r="V33" s="285"/>
      <c r="W33" s="285"/>
      <c r="X33" s="285"/>
      <c r="Y33" s="285"/>
      <c r="Z33" s="285"/>
      <c r="AA33" s="285"/>
      <c r="AB33" s="285"/>
      <c r="AC33" s="286"/>
    </row>
    <row r="34" spans="2:29" ht="23.25" customHeight="1" thickBot="1" x14ac:dyDescent="0.3">
      <c r="B34" s="341" t="s">
        <v>95</v>
      </c>
      <c r="C34" s="339" t="s">
        <v>100</v>
      </c>
      <c r="D34" s="340"/>
      <c r="E34" s="339" t="s">
        <v>101</v>
      </c>
      <c r="F34" s="340"/>
      <c r="H34" s="77" t="s">
        <v>61</v>
      </c>
      <c r="I34" s="78"/>
      <c r="J34" s="79"/>
      <c r="K34" s="79"/>
      <c r="L34" s="79" t="s">
        <v>294</v>
      </c>
      <c r="M34" s="79" t="s">
        <v>169</v>
      </c>
      <c r="N34" s="79" t="s">
        <v>168</v>
      </c>
      <c r="O34" s="79" t="s">
        <v>167</v>
      </c>
      <c r="P34" s="80" t="s">
        <v>166</v>
      </c>
      <c r="R34" s="2">
        <v>3</v>
      </c>
      <c r="S34" s="37" t="s">
        <v>23</v>
      </c>
      <c r="T34" s="284" t="s">
        <v>141</v>
      </c>
      <c r="U34" s="285"/>
      <c r="V34" s="285"/>
      <c r="W34" s="285"/>
      <c r="X34" s="285"/>
      <c r="Y34" s="285"/>
      <c r="Z34" s="285"/>
      <c r="AA34" s="285"/>
      <c r="AB34" s="285"/>
      <c r="AC34" s="286"/>
    </row>
    <row r="35" spans="2:29" ht="23.25" customHeight="1" thickBot="1" x14ac:dyDescent="0.3">
      <c r="B35" s="342"/>
      <c r="C35" s="64" t="s">
        <v>91</v>
      </c>
      <c r="D35" s="8" t="s">
        <v>92</v>
      </c>
      <c r="E35" s="64" t="s">
        <v>91</v>
      </c>
      <c r="F35" s="8" t="s">
        <v>92</v>
      </c>
      <c r="R35" s="2">
        <v>4</v>
      </c>
      <c r="S35" s="37" t="s">
        <v>21</v>
      </c>
      <c r="T35" s="284" t="s">
        <v>142</v>
      </c>
      <c r="U35" s="285"/>
      <c r="V35" s="285"/>
      <c r="W35" s="285"/>
      <c r="X35" s="285"/>
      <c r="Y35" s="285"/>
      <c r="Z35" s="285"/>
      <c r="AA35" s="285"/>
      <c r="AB35" s="285"/>
      <c r="AC35" s="286"/>
    </row>
    <row r="36" spans="2:29" ht="36" customHeight="1" thickBot="1" x14ac:dyDescent="0.3">
      <c r="B36" s="1">
        <v>0</v>
      </c>
      <c r="C36" s="27">
        <v>0</v>
      </c>
      <c r="D36" s="68" t="s">
        <v>120</v>
      </c>
      <c r="E36" s="27" t="s">
        <v>102</v>
      </c>
      <c r="F36" s="68" t="s">
        <v>124</v>
      </c>
      <c r="H36" s="84" t="s">
        <v>281</v>
      </c>
      <c r="I36" s="73">
        <v>7</v>
      </c>
      <c r="J36" s="74">
        <v>6</v>
      </c>
      <c r="K36" s="74">
        <v>5</v>
      </c>
      <c r="L36" s="74">
        <v>4</v>
      </c>
      <c r="M36" s="74">
        <v>3</v>
      </c>
      <c r="N36" s="74">
        <v>2</v>
      </c>
      <c r="O36" s="74">
        <v>1</v>
      </c>
      <c r="P36" s="72">
        <v>0</v>
      </c>
      <c r="R36" s="2">
        <v>5</v>
      </c>
      <c r="S36" s="37" t="s">
        <v>22</v>
      </c>
      <c r="T36" s="284" t="s">
        <v>143</v>
      </c>
      <c r="U36" s="285"/>
      <c r="V36" s="285"/>
      <c r="W36" s="285"/>
      <c r="X36" s="285"/>
      <c r="Y36" s="285"/>
      <c r="Z36" s="285"/>
      <c r="AA36" s="285"/>
      <c r="AB36" s="285"/>
      <c r="AC36" s="286"/>
    </row>
    <row r="37" spans="2:29" ht="36.75" customHeight="1" thickBot="1" x14ac:dyDescent="0.3">
      <c r="B37" s="2">
        <v>1</v>
      </c>
      <c r="C37" s="70" t="s">
        <v>93</v>
      </c>
      <c r="D37" s="69" t="s">
        <v>128</v>
      </c>
      <c r="E37" s="9" t="s">
        <v>103</v>
      </c>
      <c r="F37" s="35" t="s">
        <v>96</v>
      </c>
      <c r="H37" s="77" t="s">
        <v>61</v>
      </c>
      <c r="I37" s="78"/>
      <c r="J37" s="79"/>
      <c r="K37" s="79"/>
      <c r="L37" s="79"/>
      <c r="M37" s="159" t="s">
        <v>285</v>
      </c>
      <c r="N37" s="79" t="s">
        <v>284</v>
      </c>
      <c r="O37" s="79" t="s">
        <v>283</v>
      </c>
      <c r="P37" s="80" t="s">
        <v>282</v>
      </c>
      <c r="R37" s="2">
        <v>6</v>
      </c>
      <c r="S37" s="37" t="s">
        <v>11</v>
      </c>
      <c r="T37" s="284" t="s">
        <v>163</v>
      </c>
      <c r="U37" s="285"/>
      <c r="V37" s="285"/>
      <c r="W37" s="285"/>
      <c r="X37" s="285"/>
      <c r="Y37" s="285"/>
      <c r="Z37" s="285"/>
      <c r="AA37" s="285"/>
      <c r="AB37" s="285"/>
      <c r="AC37" s="286"/>
    </row>
    <row r="38" spans="2:29" ht="15.75" thickBot="1" x14ac:dyDescent="0.3">
      <c r="B38" s="2">
        <v>2</v>
      </c>
      <c r="C38" s="33" t="s">
        <v>318</v>
      </c>
      <c r="D38" s="35" t="s">
        <v>354</v>
      </c>
      <c r="E38" s="9" t="s">
        <v>104</v>
      </c>
      <c r="F38" s="35" t="s">
        <v>354</v>
      </c>
      <c r="R38" s="2">
        <v>7</v>
      </c>
      <c r="S38" s="382" t="s">
        <v>68</v>
      </c>
      <c r="T38" s="384" t="s">
        <v>144</v>
      </c>
      <c r="U38" s="385"/>
      <c r="V38" s="385"/>
      <c r="W38" s="385"/>
      <c r="X38" s="385"/>
      <c r="Y38" s="385"/>
      <c r="Z38" s="385"/>
      <c r="AA38" s="385"/>
      <c r="AB38" s="385"/>
      <c r="AC38" s="386"/>
    </row>
    <row r="39" spans="2:29" ht="15" customHeight="1" x14ac:dyDescent="0.25">
      <c r="B39" s="2">
        <v>3</v>
      </c>
      <c r="C39" s="33" t="s">
        <v>319</v>
      </c>
      <c r="D39" s="35" t="s">
        <v>118</v>
      </c>
      <c r="E39" s="9" t="s">
        <v>105</v>
      </c>
      <c r="F39" s="35" t="s">
        <v>97</v>
      </c>
      <c r="G39" s="328" t="s">
        <v>153</v>
      </c>
      <c r="H39" s="279"/>
      <c r="I39" s="279"/>
      <c r="J39" s="280"/>
      <c r="R39" s="2">
        <v>8</v>
      </c>
      <c r="S39" s="383"/>
      <c r="T39" s="387"/>
      <c r="U39" s="388"/>
      <c r="V39" s="388"/>
      <c r="W39" s="388"/>
      <c r="X39" s="388"/>
      <c r="Y39" s="388"/>
      <c r="Z39" s="388"/>
      <c r="AA39" s="388"/>
      <c r="AB39" s="388"/>
      <c r="AC39" s="389"/>
    </row>
    <row r="40" spans="2:29" ht="37.5" customHeight="1" x14ac:dyDescent="0.25">
      <c r="B40" s="2">
        <v>4</v>
      </c>
      <c r="C40" s="33" t="s">
        <v>320</v>
      </c>
      <c r="D40" s="69" t="s">
        <v>119</v>
      </c>
      <c r="E40" s="9" t="s">
        <v>106</v>
      </c>
      <c r="F40" s="35" t="s">
        <v>98</v>
      </c>
      <c r="G40" s="329"/>
      <c r="H40" s="330"/>
      <c r="I40" s="330"/>
      <c r="J40" s="331"/>
      <c r="R40" s="2">
        <v>9</v>
      </c>
      <c r="S40" s="37" t="s">
        <v>24</v>
      </c>
      <c r="T40" s="284" t="s">
        <v>321</v>
      </c>
      <c r="U40" s="285"/>
      <c r="V40" s="285"/>
      <c r="W40" s="285"/>
      <c r="X40" s="285"/>
      <c r="Y40" s="285"/>
      <c r="Z40" s="285"/>
      <c r="AA40" s="285"/>
      <c r="AB40" s="285"/>
      <c r="AC40" s="286"/>
    </row>
    <row r="41" spans="2:29" ht="30" customHeight="1" x14ac:dyDescent="0.25">
      <c r="B41" s="2">
        <v>5</v>
      </c>
      <c r="C41" s="33" t="s">
        <v>322</v>
      </c>
      <c r="D41" s="69" t="s">
        <v>323</v>
      </c>
      <c r="E41" s="9" t="s">
        <v>107</v>
      </c>
      <c r="F41" s="35" t="s">
        <v>99</v>
      </c>
      <c r="G41" s="329"/>
      <c r="H41" s="330"/>
      <c r="I41" s="330"/>
      <c r="J41" s="331"/>
      <c r="R41" s="2">
        <v>10</v>
      </c>
      <c r="S41" s="37" t="s">
        <v>10</v>
      </c>
      <c r="T41" s="284" t="s">
        <v>324</v>
      </c>
      <c r="U41" s="285"/>
      <c r="V41" s="285"/>
      <c r="W41" s="285"/>
      <c r="X41" s="285"/>
      <c r="Y41" s="285"/>
      <c r="Z41" s="285"/>
      <c r="AA41" s="285"/>
      <c r="AB41" s="285"/>
      <c r="AC41" s="286"/>
    </row>
    <row r="42" spans="2:29" ht="31.5" customHeight="1" thickBot="1" x14ac:dyDescent="0.3">
      <c r="B42" s="2">
        <v>6</v>
      </c>
      <c r="C42" s="33" t="s">
        <v>325</v>
      </c>
      <c r="D42" s="15" t="s">
        <v>149</v>
      </c>
      <c r="E42" s="9" t="s">
        <v>108</v>
      </c>
      <c r="F42" s="76" t="s">
        <v>148</v>
      </c>
      <c r="G42" s="332"/>
      <c r="H42" s="333"/>
      <c r="I42" s="333"/>
      <c r="J42" s="334"/>
      <c r="R42" s="2">
        <v>11</v>
      </c>
      <c r="S42" s="37" t="s">
        <v>136</v>
      </c>
      <c r="T42" s="284" t="s">
        <v>145</v>
      </c>
      <c r="U42" s="285"/>
      <c r="V42" s="285"/>
      <c r="W42" s="285"/>
      <c r="X42" s="285"/>
      <c r="Y42" s="285"/>
      <c r="Z42" s="285"/>
      <c r="AA42" s="285"/>
      <c r="AB42" s="285"/>
      <c r="AC42" s="286"/>
    </row>
    <row r="43" spans="2:29" ht="32.25" customHeight="1" thickBot="1" x14ac:dyDescent="0.3">
      <c r="B43" s="2">
        <v>7</v>
      </c>
      <c r="C43" s="70" t="s">
        <v>94</v>
      </c>
      <c r="D43" s="69" t="s">
        <v>326</v>
      </c>
      <c r="E43" s="9" t="s">
        <v>109</v>
      </c>
      <c r="F43" s="35" t="s">
        <v>327</v>
      </c>
      <c r="G43" s="257" t="s">
        <v>328</v>
      </c>
      <c r="H43" s="258"/>
      <c r="I43" s="258"/>
      <c r="J43" s="259"/>
      <c r="R43" s="2">
        <v>12</v>
      </c>
      <c r="S43" s="37" t="s">
        <v>137</v>
      </c>
      <c r="T43" s="284" t="s">
        <v>146</v>
      </c>
      <c r="U43" s="285"/>
      <c r="V43" s="285"/>
      <c r="W43" s="285"/>
      <c r="X43" s="285"/>
      <c r="Y43" s="285"/>
      <c r="Z43" s="285"/>
      <c r="AA43" s="285"/>
      <c r="AB43" s="285"/>
      <c r="AC43" s="286"/>
    </row>
    <row r="44" spans="2:29" ht="45.75" thickBot="1" x14ac:dyDescent="0.3">
      <c r="B44" s="2">
        <v>8</v>
      </c>
      <c r="C44" s="33" t="s">
        <v>121</v>
      </c>
      <c r="D44" s="69" t="s">
        <v>329</v>
      </c>
      <c r="E44" s="9" t="s">
        <v>110</v>
      </c>
      <c r="F44" s="35" t="s">
        <v>281</v>
      </c>
      <c r="R44" s="2">
        <v>13</v>
      </c>
      <c r="S44" s="382" t="s">
        <v>71</v>
      </c>
      <c r="T44" s="384" t="s">
        <v>330</v>
      </c>
      <c r="U44" s="385"/>
      <c r="V44" s="385"/>
      <c r="W44" s="385"/>
      <c r="X44" s="385"/>
      <c r="Y44" s="385"/>
      <c r="Z44" s="385"/>
      <c r="AA44" s="385"/>
      <c r="AB44" s="385"/>
      <c r="AC44" s="386"/>
    </row>
    <row r="45" spans="2:29" ht="30.75" customHeight="1" x14ac:dyDescent="0.25">
      <c r="B45" s="2">
        <v>9</v>
      </c>
      <c r="C45" s="33" t="s">
        <v>121</v>
      </c>
      <c r="D45" s="69" t="s">
        <v>122</v>
      </c>
      <c r="E45" s="9" t="s">
        <v>111</v>
      </c>
      <c r="F45" s="35" t="s">
        <v>123</v>
      </c>
      <c r="G45" s="328" t="s">
        <v>152</v>
      </c>
      <c r="H45" s="279"/>
      <c r="I45" s="279"/>
      <c r="J45" s="280"/>
      <c r="R45" s="2">
        <v>14</v>
      </c>
      <c r="S45" s="383"/>
      <c r="T45" s="387"/>
      <c r="U45" s="388"/>
      <c r="V45" s="388"/>
      <c r="W45" s="388"/>
      <c r="X45" s="388"/>
      <c r="Y45" s="388"/>
      <c r="Z45" s="388"/>
      <c r="AA45" s="388"/>
      <c r="AB45" s="388"/>
      <c r="AC45" s="389"/>
    </row>
    <row r="46" spans="2:29" ht="29.25" customHeight="1" thickBot="1" x14ac:dyDescent="0.3">
      <c r="B46" s="2">
        <v>10</v>
      </c>
      <c r="C46" s="33" t="s">
        <v>121</v>
      </c>
      <c r="D46" s="69" t="s">
        <v>125</v>
      </c>
      <c r="E46" s="9" t="s">
        <v>112</v>
      </c>
      <c r="F46" s="35" t="s">
        <v>126</v>
      </c>
      <c r="G46" s="332"/>
      <c r="H46" s="333"/>
      <c r="I46" s="333"/>
      <c r="J46" s="334"/>
      <c r="R46" s="4">
        <v>15</v>
      </c>
      <c r="S46" s="40" t="s">
        <v>127</v>
      </c>
      <c r="T46" s="281" t="s">
        <v>147</v>
      </c>
      <c r="U46" s="282"/>
      <c r="V46" s="282"/>
      <c r="W46" s="282"/>
      <c r="X46" s="282"/>
      <c r="Y46" s="282"/>
      <c r="Z46" s="282"/>
      <c r="AA46" s="282"/>
      <c r="AB46" s="282"/>
      <c r="AC46" s="283"/>
    </row>
    <row r="47" spans="2:29" ht="51" customHeight="1" thickBot="1" x14ac:dyDescent="0.3">
      <c r="B47" s="2">
        <v>11</v>
      </c>
      <c r="C47" s="33" t="s">
        <v>121</v>
      </c>
      <c r="D47" s="69" t="s">
        <v>331</v>
      </c>
      <c r="E47" s="9" t="s">
        <v>113</v>
      </c>
      <c r="F47" s="35" t="s">
        <v>129</v>
      </c>
      <c r="G47" s="258" t="s">
        <v>332</v>
      </c>
      <c r="H47" s="258"/>
      <c r="I47" s="258"/>
      <c r="J47" s="259"/>
    </row>
    <row r="48" spans="2:29" ht="40.5" customHeight="1" thickBot="1" x14ac:dyDescent="0.3">
      <c r="B48" s="2">
        <v>12</v>
      </c>
      <c r="C48" s="33" t="s">
        <v>121</v>
      </c>
      <c r="D48" s="69" t="s">
        <v>333</v>
      </c>
      <c r="E48" s="9" t="s">
        <v>114</v>
      </c>
      <c r="F48" s="35" t="s">
        <v>162</v>
      </c>
      <c r="R48" s="84" t="s">
        <v>298</v>
      </c>
      <c r="S48" s="73">
        <v>7</v>
      </c>
      <c r="T48" s="74">
        <v>6</v>
      </c>
      <c r="U48" s="74">
        <v>5</v>
      </c>
      <c r="V48" s="74">
        <v>4</v>
      </c>
      <c r="W48" s="74">
        <v>3</v>
      </c>
      <c r="X48" s="74">
        <v>2</v>
      </c>
      <c r="Y48" s="74">
        <v>1</v>
      </c>
      <c r="Z48" s="72">
        <v>0</v>
      </c>
      <c r="AA48" s="298" t="s">
        <v>334</v>
      </c>
      <c r="AB48" s="299"/>
      <c r="AC48" s="300"/>
    </row>
    <row r="49" spans="2:29" ht="48" customHeight="1" thickBot="1" x14ac:dyDescent="0.3">
      <c r="B49" s="2">
        <v>13</v>
      </c>
      <c r="C49" s="33" t="s">
        <v>121</v>
      </c>
      <c r="D49" s="35" t="s">
        <v>335</v>
      </c>
      <c r="E49" s="9" t="s">
        <v>115</v>
      </c>
      <c r="F49" s="35" t="s">
        <v>130</v>
      </c>
      <c r="G49" s="328" t="s">
        <v>336</v>
      </c>
      <c r="H49" s="279"/>
      <c r="I49" s="279"/>
      <c r="J49" s="280"/>
      <c r="R49" s="77" t="s">
        <v>61</v>
      </c>
      <c r="S49" s="78"/>
      <c r="T49" s="79"/>
      <c r="U49" s="79"/>
      <c r="V49" s="79"/>
      <c r="W49" s="159"/>
      <c r="X49" s="79"/>
      <c r="Y49" s="79" t="s">
        <v>297</v>
      </c>
      <c r="Z49" s="80" t="s">
        <v>296</v>
      </c>
      <c r="AA49" s="301"/>
      <c r="AB49" s="302"/>
      <c r="AC49" s="303"/>
    </row>
    <row r="50" spans="2:29" ht="30" customHeight="1" thickBot="1" x14ac:dyDescent="0.3">
      <c r="B50" s="2">
        <v>14</v>
      </c>
      <c r="C50" s="33" t="s">
        <v>353</v>
      </c>
      <c r="D50" s="35" t="s">
        <v>335</v>
      </c>
      <c r="E50" s="9" t="s">
        <v>116</v>
      </c>
      <c r="F50" s="35" t="s">
        <v>130</v>
      </c>
      <c r="G50" s="329"/>
      <c r="H50" s="330"/>
      <c r="I50" s="330"/>
      <c r="J50" s="331"/>
    </row>
    <row r="51" spans="2:29" ht="20.25" customHeight="1" thickBot="1" x14ac:dyDescent="0.3">
      <c r="B51" s="4">
        <v>15</v>
      </c>
      <c r="C51" s="12" t="s">
        <v>121</v>
      </c>
      <c r="D51" s="35" t="s">
        <v>335</v>
      </c>
      <c r="E51" s="63" t="s">
        <v>117</v>
      </c>
      <c r="F51" s="14" t="s">
        <v>130</v>
      </c>
      <c r="G51" s="332"/>
      <c r="H51" s="333"/>
      <c r="I51" s="333"/>
      <c r="J51" s="334"/>
      <c r="R51" s="316" t="s">
        <v>299</v>
      </c>
      <c r="S51" s="318" t="s">
        <v>156</v>
      </c>
      <c r="T51" s="320" t="s">
        <v>155</v>
      </c>
      <c r="U51" s="320"/>
      <c r="V51" s="321"/>
    </row>
    <row r="52" spans="2:29" ht="15.75" customHeight="1" thickBot="1" x14ac:dyDescent="0.3">
      <c r="B52" s="273" t="s">
        <v>337</v>
      </c>
      <c r="C52" s="274"/>
      <c r="D52" s="274"/>
      <c r="E52" s="274"/>
      <c r="F52" s="275"/>
      <c r="R52" s="317"/>
      <c r="S52" s="319"/>
      <c r="T52" s="322"/>
      <c r="U52" s="322"/>
      <c r="V52" s="323"/>
    </row>
    <row r="53" spans="2:29" ht="48" customHeight="1" thickBot="1" x14ac:dyDescent="0.3">
      <c r="R53" s="164" t="s">
        <v>195</v>
      </c>
      <c r="S53" s="165" t="s">
        <v>300</v>
      </c>
      <c r="T53" s="311" t="s">
        <v>338</v>
      </c>
      <c r="U53" s="311"/>
      <c r="V53" s="312"/>
    </row>
    <row r="54" spans="2:29" ht="36.75" customHeight="1" x14ac:dyDescent="0.25">
      <c r="B54" s="337" t="s">
        <v>154</v>
      </c>
      <c r="C54" s="318" t="s">
        <v>156</v>
      </c>
      <c r="D54" s="320" t="s">
        <v>155</v>
      </c>
      <c r="E54" s="321"/>
      <c r="H54" s="316" t="s">
        <v>290</v>
      </c>
      <c r="I54" s="318" t="s">
        <v>156</v>
      </c>
      <c r="J54" s="304" t="s">
        <v>155</v>
      </c>
      <c r="K54" s="305"/>
      <c r="L54" s="306"/>
      <c r="R54" s="162" t="s">
        <v>204</v>
      </c>
      <c r="S54" s="160" t="s">
        <v>301</v>
      </c>
      <c r="T54" s="324" t="s">
        <v>307</v>
      </c>
      <c r="U54" s="324"/>
      <c r="V54" s="325"/>
    </row>
    <row r="55" spans="2:29" ht="24" customHeight="1" thickBot="1" x14ac:dyDescent="0.3">
      <c r="B55" s="338"/>
      <c r="C55" s="319"/>
      <c r="D55" s="322"/>
      <c r="E55" s="323"/>
      <c r="H55" s="335"/>
      <c r="I55" s="336"/>
      <c r="J55" s="307"/>
      <c r="K55" s="308"/>
      <c r="L55" s="309"/>
      <c r="R55" s="162" t="s">
        <v>190</v>
      </c>
      <c r="S55" s="160" t="s">
        <v>302</v>
      </c>
      <c r="T55" s="324" t="s">
        <v>339</v>
      </c>
      <c r="U55" s="324"/>
      <c r="V55" s="325"/>
    </row>
    <row r="56" spans="2:29" ht="60.75" customHeight="1" thickBot="1" x14ac:dyDescent="0.3">
      <c r="B56" s="81">
        <v>0</v>
      </c>
      <c r="C56" s="23" t="s">
        <v>9</v>
      </c>
      <c r="D56" s="287" t="s">
        <v>170</v>
      </c>
      <c r="E56" s="289"/>
      <c r="H56" s="81" t="s">
        <v>293</v>
      </c>
      <c r="I56" s="45" t="s">
        <v>288</v>
      </c>
      <c r="J56" s="310" t="s">
        <v>291</v>
      </c>
      <c r="K56" s="311"/>
      <c r="L56" s="312"/>
      <c r="M56" s="257" t="s">
        <v>340</v>
      </c>
      <c r="N56" s="259"/>
      <c r="R56" s="162" t="s">
        <v>215</v>
      </c>
      <c r="S56" s="160" t="s">
        <v>303</v>
      </c>
      <c r="T56" s="324" t="s">
        <v>341</v>
      </c>
      <c r="U56" s="324"/>
      <c r="V56" s="325"/>
    </row>
    <row r="57" spans="2:29" ht="49.5" customHeight="1" thickBot="1" x14ac:dyDescent="0.3">
      <c r="B57" s="82">
        <v>1</v>
      </c>
      <c r="C57" s="85" t="s">
        <v>286</v>
      </c>
      <c r="D57" s="326" t="s">
        <v>287</v>
      </c>
      <c r="E57" s="325"/>
      <c r="F57" s="257" t="s">
        <v>342</v>
      </c>
      <c r="G57" s="259"/>
      <c r="H57" s="82">
        <v>0</v>
      </c>
      <c r="I57" s="85" t="s">
        <v>292</v>
      </c>
      <c r="J57" s="313" t="s">
        <v>343</v>
      </c>
      <c r="K57" s="314"/>
      <c r="L57" s="315"/>
      <c r="R57" s="162" t="s">
        <v>228</v>
      </c>
      <c r="S57" s="36" t="s">
        <v>308</v>
      </c>
      <c r="T57" s="324" t="s">
        <v>344</v>
      </c>
      <c r="U57" s="324"/>
      <c r="V57" s="325"/>
    </row>
    <row r="58" spans="2:29" ht="60" customHeight="1" x14ac:dyDescent="0.25">
      <c r="B58" s="82">
        <v>2</v>
      </c>
      <c r="C58" s="85" t="s">
        <v>164</v>
      </c>
      <c r="D58" s="326" t="s">
        <v>345</v>
      </c>
      <c r="E58" s="325"/>
      <c r="H58" s="82">
        <v>1</v>
      </c>
      <c r="I58" s="85" t="s">
        <v>346</v>
      </c>
      <c r="J58" s="313" t="s">
        <v>347</v>
      </c>
      <c r="K58" s="314"/>
      <c r="L58" s="315"/>
      <c r="R58" s="162" t="s">
        <v>229</v>
      </c>
      <c r="S58" s="36" t="s">
        <v>304</v>
      </c>
      <c r="T58" s="324" t="s">
        <v>348</v>
      </c>
      <c r="U58" s="324"/>
      <c r="V58" s="325"/>
    </row>
    <row r="59" spans="2:29" ht="61.5" customHeight="1" x14ac:dyDescent="0.25">
      <c r="B59" s="82">
        <v>3</v>
      </c>
      <c r="C59" s="85" t="s">
        <v>349</v>
      </c>
      <c r="D59" s="326" t="s">
        <v>159</v>
      </c>
      <c r="E59" s="325"/>
      <c r="H59" s="82">
        <v>2</v>
      </c>
      <c r="I59" s="85" t="s">
        <v>289</v>
      </c>
      <c r="J59" s="313" t="s">
        <v>350</v>
      </c>
      <c r="K59" s="314"/>
      <c r="L59" s="315"/>
      <c r="R59" s="162" t="s">
        <v>230</v>
      </c>
      <c r="S59" s="36" t="s">
        <v>305</v>
      </c>
      <c r="T59" s="324" t="s">
        <v>351</v>
      </c>
      <c r="U59" s="324"/>
      <c r="V59" s="325"/>
      <c r="X59" s="166"/>
    </row>
    <row r="60" spans="2:29" ht="45.75" customHeight="1" x14ac:dyDescent="0.25">
      <c r="B60" s="82">
        <v>4</v>
      </c>
      <c r="C60" s="38" t="s">
        <v>157</v>
      </c>
      <c r="D60" s="326" t="s">
        <v>160</v>
      </c>
      <c r="E60" s="325"/>
      <c r="H60" s="82">
        <v>3</v>
      </c>
      <c r="I60" s="38" t="s">
        <v>294</v>
      </c>
      <c r="J60" s="313" t="s">
        <v>309</v>
      </c>
      <c r="K60" s="314"/>
      <c r="L60" s="315"/>
      <c r="R60" s="162" t="s">
        <v>231</v>
      </c>
      <c r="S60" s="160" t="s">
        <v>306</v>
      </c>
      <c r="T60" s="324" t="s">
        <v>459</v>
      </c>
      <c r="U60" s="324"/>
      <c r="V60" s="325"/>
    </row>
    <row r="61" spans="2:29" ht="40.5" customHeight="1" x14ac:dyDescent="0.25">
      <c r="B61" s="82">
        <v>5</v>
      </c>
      <c r="C61" s="38" t="s">
        <v>158</v>
      </c>
      <c r="D61" s="326" t="s">
        <v>161</v>
      </c>
      <c r="E61" s="325"/>
      <c r="H61" s="82">
        <v>4</v>
      </c>
      <c r="I61" s="38"/>
      <c r="J61" s="313"/>
      <c r="K61" s="314"/>
      <c r="L61" s="315"/>
      <c r="R61" s="162" t="s">
        <v>232</v>
      </c>
      <c r="S61" s="160" t="s">
        <v>306</v>
      </c>
      <c r="T61" s="324"/>
      <c r="U61" s="324"/>
      <c r="V61" s="325"/>
    </row>
    <row r="62" spans="2:29" ht="53.25" customHeight="1" x14ac:dyDescent="0.25">
      <c r="B62" s="82">
        <v>6</v>
      </c>
      <c r="C62" s="38"/>
      <c r="D62" s="326"/>
      <c r="E62" s="325"/>
      <c r="H62" s="82">
        <v>5</v>
      </c>
      <c r="I62" s="38"/>
      <c r="J62" s="313"/>
      <c r="K62" s="314"/>
      <c r="L62" s="315"/>
      <c r="R62" s="162" t="s">
        <v>264</v>
      </c>
      <c r="S62" s="160" t="s">
        <v>306</v>
      </c>
      <c r="T62" s="324"/>
      <c r="U62" s="324"/>
      <c r="V62" s="325"/>
    </row>
    <row r="63" spans="2:29" ht="36" customHeight="1" x14ac:dyDescent="0.25">
      <c r="B63" s="82">
        <v>7</v>
      </c>
      <c r="C63" s="85"/>
      <c r="D63" s="326"/>
      <c r="E63" s="325"/>
      <c r="H63" s="82">
        <v>6</v>
      </c>
      <c r="I63" s="85"/>
      <c r="J63" s="313"/>
      <c r="K63" s="314"/>
      <c r="L63" s="315"/>
      <c r="R63" s="162" t="s">
        <v>352</v>
      </c>
      <c r="S63" s="160" t="s">
        <v>306</v>
      </c>
      <c r="T63" s="324"/>
      <c r="U63" s="324"/>
      <c r="V63" s="325"/>
    </row>
    <row r="64" spans="2:29" ht="40.5" customHeight="1" thickBot="1" x14ac:dyDescent="0.3">
      <c r="B64" s="82">
        <v>8</v>
      </c>
      <c r="C64" s="85"/>
      <c r="D64" s="326"/>
      <c r="E64" s="325"/>
      <c r="R64" s="163" t="s">
        <v>456</v>
      </c>
      <c r="S64" s="161" t="s">
        <v>457</v>
      </c>
      <c r="T64" s="296" t="s">
        <v>458</v>
      </c>
      <c r="U64" s="296"/>
      <c r="V64" s="297"/>
    </row>
    <row r="65" spans="2:20" x14ac:dyDescent="0.25">
      <c r="B65" s="82">
        <v>9</v>
      </c>
      <c r="C65" s="85"/>
      <c r="D65" s="326"/>
      <c r="E65" s="325"/>
      <c r="T65" s="166"/>
    </row>
    <row r="66" spans="2:20" ht="30" customHeight="1" x14ac:dyDescent="0.25">
      <c r="B66" s="82">
        <v>10</v>
      </c>
      <c r="C66" s="85"/>
      <c r="D66" s="326"/>
      <c r="E66" s="325"/>
    </row>
    <row r="67" spans="2:20" x14ac:dyDescent="0.25">
      <c r="B67" s="82">
        <v>11</v>
      </c>
      <c r="C67" s="85"/>
      <c r="D67" s="326"/>
      <c r="E67" s="325"/>
    </row>
    <row r="68" spans="2:20" x14ac:dyDescent="0.25">
      <c r="B68" s="82">
        <v>12</v>
      </c>
      <c r="C68" s="85"/>
      <c r="D68" s="326"/>
      <c r="E68" s="325"/>
    </row>
    <row r="69" spans="2:20" x14ac:dyDescent="0.25">
      <c r="B69" s="82">
        <v>13</v>
      </c>
      <c r="C69" s="85"/>
      <c r="D69" s="326"/>
      <c r="E69" s="325"/>
    </row>
    <row r="70" spans="2:20" ht="30" customHeight="1" x14ac:dyDescent="0.25">
      <c r="B70" s="82">
        <v>14</v>
      </c>
      <c r="C70" s="85"/>
      <c r="D70" s="326"/>
      <c r="E70" s="325"/>
    </row>
    <row r="71" spans="2:20" ht="15.75" thickBot="1" x14ac:dyDescent="0.3">
      <c r="B71" s="83">
        <v>15</v>
      </c>
      <c r="C71" s="86"/>
      <c r="D71" s="327"/>
      <c r="E71" s="297"/>
    </row>
    <row r="75" spans="2:20" ht="72" customHeight="1" x14ac:dyDescent="0.25"/>
  </sheetData>
  <mergeCells count="188">
    <mergeCell ref="AE30:AF30"/>
    <mergeCell ref="AE31:AF31"/>
    <mergeCell ref="AG30:AI30"/>
    <mergeCell ref="AG31:AI31"/>
    <mergeCell ref="T30:AC30"/>
    <mergeCell ref="T31:AC31"/>
    <mergeCell ref="T32:AC32"/>
    <mergeCell ref="T33:AC33"/>
    <mergeCell ref="T34:AC34"/>
    <mergeCell ref="T35:AC35"/>
    <mergeCell ref="T36:AC36"/>
    <mergeCell ref="T37:AC37"/>
    <mergeCell ref="G47:J47"/>
    <mergeCell ref="S38:S39"/>
    <mergeCell ref="T38:AC39"/>
    <mergeCell ref="S44:S45"/>
    <mergeCell ref="T44:AC45"/>
    <mergeCell ref="T40:AC40"/>
    <mergeCell ref="T41:AC41"/>
    <mergeCell ref="T42:AC42"/>
    <mergeCell ref="T43:AC43"/>
    <mergeCell ref="T46:AC46"/>
    <mergeCell ref="G45:J46"/>
    <mergeCell ref="G39:J42"/>
    <mergeCell ref="AA20:AB20"/>
    <mergeCell ref="AA21:AB21"/>
    <mergeCell ref="AA22:AB22"/>
    <mergeCell ref="AA15:AB15"/>
    <mergeCell ref="U3:V3"/>
    <mergeCell ref="U4:V4"/>
    <mergeCell ref="U23:V23"/>
    <mergeCell ref="U22:V22"/>
    <mergeCell ref="U21:V21"/>
    <mergeCell ref="U5:V5"/>
    <mergeCell ref="U6:V6"/>
    <mergeCell ref="U7:V7"/>
    <mergeCell ref="U8:V8"/>
    <mergeCell ref="U9:V9"/>
    <mergeCell ref="U20:V20"/>
    <mergeCell ref="U15:V15"/>
    <mergeCell ref="U16:V16"/>
    <mergeCell ref="U17:V17"/>
    <mergeCell ref="U18:V18"/>
    <mergeCell ref="U19:V19"/>
    <mergeCell ref="U10:V10"/>
    <mergeCell ref="U11:V11"/>
    <mergeCell ref="AA23:AB23"/>
    <mergeCell ref="AA6:AB6"/>
    <mergeCell ref="E5:J5"/>
    <mergeCell ref="H9:J9"/>
    <mergeCell ref="G17:J17"/>
    <mergeCell ref="G18:J18"/>
    <mergeCell ref="G19:J19"/>
    <mergeCell ref="H8:J8"/>
    <mergeCell ref="H7:J7"/>
    <mergeCell ref="E6:J6"/>
    <mergeCell ref="AA16:AB16"/>
    <mergeCell ref="AA17:AB17"/>
    <mergeCell ref="AA18:AB18"/>
    <mergeCell ref="N18:P18"/>
    <mergeCell ref="N16:P16"/>
    <mergeCell ref="N6:P6"/>
    <mergeCell ref="N12:P12"/>
    <mergeCell ref="AA19:AB19"/>
    <mergeCell ref="H11:J11"/>
    <mergeCell ref="H10:J10"/>
    <mergeCell ref="H15:J15"/>
    <mergeCell ref="H13:J13"/>
    <mergeCell ref="H12:J12"/>
    <mergeCell ref="H14:J14"/>
    <mergeCell ref="F16:J16"/>
    <mergeCell ref="N13:P13"/>
    <mergeCell ref="B2:B4"/>
    <mergeCell ref="N28:P28"/>
    <mergeCell ref="N27:P27"/>
    <mergeCell ref="G25:J25"/>
    <mergeCell ref="G26:J26"/>
    <mergeCell ref="E28:J28"/>
    <mergeCell ref="N24:P24"/>
    <mergeCell ref="E27:J27"/>
    <mergeCell ref="E22:J22"/>
    <mergeCell ref="G23:J23"/>
    <mergeCell ref="G24:J24"/>
    <mergeCell ref="K3:P3"/>
    <mergeCell ref="C2:D2"/>
    <mergeCell ref="E2:F2"/>
    <mergeCell ref="G2:H2"/>
    <mergeCell ref="I2:J2"/>
    <mergeCell ref="G20:J20"/>
    <mergeCell ref="G21:J21"/>
    <mergeCell ref="K2:P2"/>
    <mergeCell ref="N7:P7"/>
    <mergeCell ref="N8:P8"/>
    <mergeCell ref="N11:P11"/>
    <mergeCell ref="E4:J4"/>
    <mergeCell ref="N10:P10"/>
    <mergeCell ref="U13:V13"/>
    <mergeCell ref="U14:V14"/>
    <mergeCell ref="S2:S4"/>
    <mergeCell ref="R2:R4"/>
    <mergeCell ref="U24:V24"/>
    <mergeCell ref="U25:V25"/>
    <mergeCell ref="U26:V26"/>
    <mergeCell ref="N26:P26"/>
    <mergeCell ref="N25:P25"/>
    <mergeCell ref="N22:P22"/>
    <mergeCell ref="N9:P9"/>
    <mergeCell ref="N4:P4"/>
    <mergeCell ref="N5:P5"/>
    <mergeCell ref="N14:P14"/>
    <mergeCell ref="N15:P15"/>
    <mergeCell ref="AA3:AB3"/>
    <mergeCell ref="T2:AA2"/>
    <mergeCell ref="AB2:AI2"/>
    <mergeCell ref="AA4:AB4"/>
    <mergeCell ref="AA5:AB5"/>
    <mergeCell ref="AA8:AB8"/>
    <mergeCell ref="AA9:AB9"/>
    <mergeCell ref="AA10:AB10"/>
    <mergeCell ref="AA11:AB11"/>
    <mergeCell ref="C54:C55"/>
    <mergeCell ref="B54:B55"/>
    <mergeCell ref="D57:E57"/>
    <mergeCell ref="C34:D34"/>
    <mergeCell ref="E34:F34"/>
    <mergeCell ref="B34:B35"/>
    <mergeCell ref="B52:F52"/>
    <mergeCell ref="AA7:AB7"/>
    <mergeCell ref="AA28:AB28"/>
    <mergeCell ref="AA12:AB12"/>
    <mergeCell ref="AA13:AB13"/>
    <mergeCell ref="AA24:AB24"/>
    <mergeCell ref="AA25:AB25"/>
    <mergeCell ref="AA26:AB26"/>
    <mergeCell ref="U27:V27"/>
    <mergeCell ref="AA27:AB27"/>
    <mergeCell ref="U12:V12"/>
    <mergeCell ref="AA14:AB14"/>
    <mergeCell ref="U28:V28"/>
    <mergeCell ref="N17:P17"/>
    <mergeCell ref="N19:P19"/>
    <mergeCell ref="N20:P20"/>
    <mergeCell ref="N21:P21"/>
    <mergeCell ref="N23:P23"/>
    <mergeCell ref="D70:E70"/>
    <mergeCell ref="D71:E71"/>
    <mergeCell ref="G43:J43"/>
    <mergeCell ref="D61:E61"/>
    <mergeCell ref="D58:E58"/>
    <mergeCell ref="D63:E63"/>
    <mergeCell ref="D64:E64"/>
    <mergeCell ref="D65:E65"/>
    <mergeCell ref="D66:E66"/>
    <mergeCell ref="D67:E67"/>
    <mergeCell ref="D68:E68"/>
    <mergeCell ref="D69:E69"/>
    <mergeCell ref="D54:E55"/>
    <mergeCell ref="D59:E59"/>
    <mergeCell ref="D60:E60"/>
    <mergeCell ref="D56:E56"/>
    <mergeCell ref="G49:J51"/>
    <mergeCell ref="D62:E62"/>
    <mergeCell ref="F57:G57"/>
    <mergeCell ref="H54:H55"/>
    <mergeCell ref="I54:I55"/>
    <mergeCell ref="T64:V64"/>
    <mergeCell ref="AA48:AC49"/>
    <mergeCell ref="M56:N56"/>
    <mergeCell ref="J54:L55"/>
    <mergeCell ref="J56:L56"/>
    <mergeCell ref="J57:L57"/>
    <mergeCell ref="J58:L58"/>
    <mergeCell ref="J59:L59"/>
    <mergeCell ref="J60:L60"/>
    <mergeCell ref="J61:L61"/>
    <mergeCell ref="R51:R52"/>
    <mergeCell ref="S51:S52"/>
    <mergeCell ref="T51:V52"/>
    <mergeCell ref="T53:V53"/>
    <mergeCell ref="T54:V54"/>
    <mergeCell ref="T55:V55"/>
    <mergeCell ref="T56:V56"/>
    <mergeCell ref="T57:V57"/>
    <mergeCell ref="T58:V58"/>
    <mergeCell ref="T59:V59"/>
    <mergeCell ref="T60:V63"/>
    <mergeCell ref="J62:L62"/>
    <mergeCell ref="J63:L63"/>
  </mergeCells>
  <phoneticPr fontId="2" type="noConversion"/>
  <pageMargins left="0.7" right="0.7" top="0.75" bottom="0.75" header="0.3" footer="0.3"/>
  <pageSetup orientation="portrait" r:id="rId1"/>
  <ignoredErrors>
    <ignoredError sqref="AA5:AB20 U5:V20 V22 V21 U24:V28 V23 AA25:AB28 AB21 AB22 AB23 AB24" numberStoredAsText="1"/>
    <ignoredError sqref="D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BBEA-E421-4197-9F44-CA2E8EC0215F}">
  <dimension ref="B1:AB33"/>
  <sheetViews>
    <sheetView topLeftCell="I7" zoomScale="70" zoomScaleNormal="70" workbookViewId="0">
      <selection activeCell="W13" sqref="W13:X13"/>
    </sheetView>
  </sheetViews>
  <sheetFormatPr baseColWidth="10" defaultRowHeight="15" x14ac:dyDescent="0.25"/>
  <cols>
    <col min="2" max="2" width="21" customWidth="1"/>
    <col min="3" max="3" width="20.85546875" customWidth="1"/>
    <col min="4" max="4" width="10.85546875" customWidth="1"/>
    <col min="5" max="5" width="17" customWidth="1"/>
    <col min="6" max="6" width="25" customWidth="1"/>
    <col min="7" max="10" width="10.140625" customWidth="1"/>
    <col min="12" max="12" width="10.140625" customWidth="1"/>
    <col min="13" max="13" width="12" customWidth="1"/>
    <col min="14" max="14" width="18.42578125" customWidth="1"/>
    <col min="15" max="15" width="29.140625" customWidth="1"/>
    <col min="16" max="16" width="8" customWidth="1"/>
    <col min="17" max="19" width="18.42578125" customWidth="1"/>
    <col min="20" max="20" width="28.5703125" customWidth="1"/>
    <col min="21" max="21" width="8" customWidth="1"/>
    <col min="22" max="22" width="9.85546875" customWidth="1"/>
    <col min="23" max="23" width="18.42578125" customWidth="1"/>
    <col min="24" max="24" width="27.42578125" customWidth="1"/>
    <col min="25" max="25" width="48.140625" customWidth="1"/>
    <col min="26" max="28" width="7.42578125" customWidth="1"/>
  </cols>
  <sheetData>
    <row r="1" spans="2:28" ht="15.75" thickBot="1" x14ac:dyDescent="0.3"/>
    <row r="2" spans="2:28" ht="45" customHeight="1" thickBot="1" x14ac:dyDescent="0.3">
      <c r="B2" s="185" t="s">
        <v>355</v>
      </c>
      <c r="C2" s="180" t="s">
        <v>356</v>
      </c>
      <c r="D2" s="178" t="s">
        <v>357</v>
      </c>
      <c r="E2" s="178" t="s">
        <v>416</v>
      </c>
      <c r="F2" s="179" t="s">
        <v>358</v>
      </c>
      <c r="G2" s="279" t="s">
        <v>171</v>
      </c>
      <c r="H2" s="279"/>
      <c r="I2" s="279"/>
      <c r="J2" s="280"/>
      <c r="L2" s="248" t="s">
        <v>274</v>
      </c>
      <c r="M2" s="249"/>
      <c r="N2" s="249"/>
      <c r="O2" s="250"/>
      <c r="P2" s="114"/>
      <c r="Q2" s="251" t="s">
        <v>237</v>
      </c>
      <c r="R2" s="252"/>
      <c r="S2" s="252"/>
      <c r="T2" s="253"/>
      <c r="U2" s="114"/>
      <c r="V2" s="245" t="s">
        <v>260</v>
      </c>
      <c r="W2" s="246"/>
      <c r="X2" s="246"/>
      <c r="Y2" s="246"/>
      <c r="Z2" s="246"/>
      <c r="AA2" s="246"/>
      <c r="AB2" s="247"/>
    </row>
    <row r="3" spans="2:28" ht="43.5" customHeight="1" thickBot="1" x14ac:dyDescent="0.3">
      <c r="B3" s="186" t="s">
        <v>359</v>
      </c>
      <c r="C3" s="181" t="s">
        <v>360</v>
      </c>
      <c r="D3" s="190" t="s">
        <v>361</v>
      </c>
      <c r="E3" s="176" t="s">
        <v>362</v>
      </c>
      <c r="F3" s="177" t="s">
        <v>363</v>
      </c>
      <c r="G3" s="88" t="s">
        <v>172</v>
      </c>
      <c r="H3" s="287" t="s">
        <v>176</v>
      </c>
      <c r="I3" s="288"/>
      <c r="J3" s="289"/>
      <c r="L3" s="126" t="s">
        <v>223</v>
      </c>
      <c r="M3" s="127" t="s">
        <v>224</v>
      </c>
      <c r="N3" s="128" t="s">
        <v>225</v>
      </c>
      <c r="O3" s="129" t="s">
        <v>226</v>
      </c>
      <c r="P3" s="114"/>
      <c r="Q3" s="150" t="s">
        <v>223</v>
      </c>
      <c r="R3" s="151" t="s">
        <v>224</v>
      </c>
      <c r="S3" s="151" t="s">
        <v>225</v>
      </c>
      <c r="T3" s="152" t="s">
        <v>226</v>
      </c>
      <c r="U3" s="114"/>
      <c r="V3" s="150" t="s">
        <v>223</v>
      </c>
      <c r="W3" s="153" t="s">
        <v>224</v>
      </c>
      <c r="X3" s="151" t="s">
        <v>225</v>
      </c>
      <c r="Y3" s="152" t="s">
        <v>226</v>
      </c>
      <c r="Z3" s="264" t="s">
        <v>265</v>
      </c>
      <c r="AA3" s="265"/>
      <c r="AB3" s="266"/>
    </row>
    <row r="4" spans="2:28" ht="53.25" customHeight="1" x14ac:dyDescent="0.25">
      <c r="B4" s="187" t="s">
        <v>364</v>
      </c>
      <c r="C4" s="182" t="s">
        <v>365</v>
      </c>
      <c r="D4" s="191" t="s">
        <v>366</v>
      </c>
      <c r="E4" s="171" t="s">
        <v>367</v>
      </c>
      <c r="F4" s="172" t="s">
        <v>368</v>
      </c>
      <c r="G4" s="89" t="s">
        <v>173</v>
      </c>
      <c r="H4" s="284">
        <v>63</v>
      </c>
      <c r="I4" s="285"/>
      <c r="J4" s="286"/>
      <c r="L4" s="132" t="s">
        <v>195</v>
      </c>
      <c r="M4" s="157" t="s">
        <v>227</v>
      </c>
      <c r="N4" s="92" t="s">
        <v>267</v>
      </c>
      <c r="O4" s="116" t="s">
        <v>269</v>
      </c>
      <c r="P4" s="114"/>
      <c r="Q4" s="144" t="s">
        <v>228</v>
      </c>
      <c r="R4" s="120" t="s">
        <v>227</v>
      </c>
      <c r="S4" s="118" t="s">
        <v>235</v>
      </c>
      <c r="T4" s="119" t="s">
        <v>238</v>
      </c>
      <c r="U4" s="114"/>
      <c r="V4" s="144" t="s">
        <v>228</v>
      </c>
      <c r="W4" s="120" t="s">
        <v>227</v>
      </c>
      <c r="X4" s="118" t="s">
        <v>276</v>
      </c>
      <c r="Y4" s="119" t="s">
        <v>263</v>
      </c>
      <c r="Z4" s="267" t="s">
        <v>421</v>
      </c>
      <c r="AA4" s="268"/>
      <c r="AB4" s="269"/>
    </row>
    <row r="5" spans="2:28" ht="47.25" customHeight="1" x14ac:dyDescent="0.25">
      <c r="B5" s="188" t="s">
        <v>369</v>
      </c>
      <c r="C5" s="182" t="s">
        <v>360</v>
      </c>
      <c r="D5" s="191" t="s">
        <v>370</v>
      </c>
      <c r="E5" s="171" t="s">
        <v>371</v>
      </c>
      <c r="F5" s="172" t="s">
        <v>372</v>
      </c>
      <c r="G5" s="89" t="s">
        <v>174</v>
      </c>
      <c r="H5" s="284">
        <v>31</v>
      </c>
      <c r="I5" s="285"/>
      <c r="J5" s="286"/>
      <c r="L5" s="130" t="s">
        <v>204</v>
      </c>
      <c r="M5" s="91" t="s">
        <v>227</v>
      </c>
      <c r="N5" s="154" t="s">
        <v>268</v>
      </c>
      <c r="O5" s="116" t="s">
        <v>266</v>
      </c>
      <c r="P5" s="114"/>
      <c r="Q5" s="145" t="s">
        <v>229</v>
      </c>
      <c r="R5" s="121" t="s">
        <v>227</v>
      </c>
      <c r="S5" s="115" t="s">
        <v>270</v>
      </c>
      <c r="T5" s="116" t="s">
        <v>238</v>
      </c>
      <c r="U5" s="114"/>
      <c r="V5" s="145" t="s">
        <v>229</v>
      </c>
      <c r="W5" s="121" t="s">
        <v>227</v>
      </c>
      <c r="X5" s="115" t="s">
        <v>234</v>
      </c>
      <c r="Y5" s="116" t="s">
        <v>240</v>
      </c>
      <c r="Z5" s="267"/>
      <c r="AA5" s="268"/>
      <c r="AB5" s="269"/>
    </row>
    <row r="6" spans="2:28" ht="43.5" customHeight="1" thickBot="1" x14ac:dyDescent="0.3">
      <c r="B6" s="187" t="s">
        <v>373</v>
      </c>
      <c r="C6" s="182" t="s">
        <v>365</v>
      </c>
      <c r="D6" s="191" t="s">
        <v>374</v>
      </c>
      <c r="E6" s="171" t="s">
        <v>375</v>
      </c>
      <c r="F6" s="172" t="s">
        <v>376</v>
      </c>
      <c r="G6" s="90" t="s">
        <v>175</v>
      </c>
      <c r="H6" s="281">
        <v>7</v>
      </c>
      <c r="I6" s="282"/>
      <c r="J6" s="283"/>
      <c r="L6" s="133" t="s">
        <v>190</v>
      </c>
      <c r="M6" s="123" t="s">
        <v>418</v>
      </c>
      <c r="N6" s="92" t="s">
        <v>420</v>
      </c>
      <c r="O6" s="116" t="s">
        <v>236</v>
      </c>
      <c r="P6" s="114"/>
      <c r="Q6" s="145" t="s">
        <v>230</v>
      </c>
      <c r="R6" s="121" t="s">
        <v>227</v>
      </c>
      <c r="S6" s="115" t="s">
        <v>271</v>
      </c>
      <c r="T6" s="116" t="s">
        <v>238</v>
      </c>
      <c r="U6" s="114"/>
      <c r="V6" s="146" t="s">
        <v>230</v>
      </c>
      <c r="W6" s="122" t="s">
        <v>227</v>
      </c>
      <c r="X6" s="117" t="s">
        <v>261</v>
      </c>
      <c r="Y6" s="125" t="s">
        <v>262</v>
      </c>
      <c r="Z6" s="270"/>
      <c r="AA6" s="271"/>
      <c r="AB6" s="272"/>
    </row>
    <row r="7" spans="2:28" ht="57" customHeight="1" thickBot="1" x14ac:dyDescent="0.3">
      <c r="B7" s="188" t="s">
        <v>377</v>
      </c>
      <c r="C7" s="182" t="s">
        <v>360</v>
      </c>
      <c r="D7" s="191" t="s">
        <v>378</v>
      </c>
      <c r="E7" s="171" t="s">
        <v>379</v>
      </c>
      <c r="F7" s="172" t="s">
        <v>380</v>
      </c>
      <c r="G7" s="87" t="s">
        <v>222</v>
      </c>
      <c r="H7" s="276" t="str">
        <f>DEC2HEX(HEX2DEC($H$3)+_xlfn.BITLSHIFT(H4,20)+_xlfn.BITLSHIFT(H5,15)+_xlfn.BITLSHIFT(H6,12))</f>
        <v>E3FFF000</v>
      </c>
      <c r="I7" s="277"/>
      <c r="J7" s="278"/>
      <c r="L7" s="131" t="s">
        <v>190</v>
      </c>
      <c r="M7" s="124" t="s">
        <v>419</v>
      </c>
      <c r="N7" s="93" t="s">
        <v>275</v>
      </c>
      <c r="O7" s="125" t="s">
        <v>273</v>
      </c>
      <c r="P7" s="114"/>
      <c r="Q7" s="145" t="s">
        <v>231</v>
      </c>
      <c r="R7" s="121" t="s">
        <v>227</v>
      </c>
      <c r="S7" s="115" t="s">
        <v>272</v>
      </c>
      <c r="T7" s="116" t="s">
        <v>238</v>
      </c>
      <c r="U7" s="114"/>
    </row>
    <row r="8" spans="2:28" ht="43.5" customHeight="1" thickBot="1" x14ac:dyDescent="0.3">
      <c r="B8" s="187" t="s">
        <v>381</v>
      </c>
      <c r="C8" s="183" t="s">
        <v>382</v>
      </c>
      <c r="D8" s="192" t="s">
        <v>383</v>
      </c>
      <c r="E8" s="170" t="s">
        <v>383</v>
      </c>
      <c r="F8" s="173" t="s">
        <v>384</v>
      </c>
      <c r="G8" s="87" t="s">
        <v>177</v>
      </c>
      <c r="H8" s="276" t="str">
        <f>DEC2HEX(HEX2DEC($H$3)+_xlfn.BITLSHIFT(H4,20)+_xlfn.BITLSHIFT(H5,15)+_xlfn.BITLSHIFT(H6,12)+4095)</f>
        <v>E3FFFFFF</v>
      </c>
      <c r="I8" s="277"/>
      <c r="J8" s="278"/>
      <c r="L8" s="257" t="s">
        <v>417</v>
      </c>
      <c r="M8" s="258"/>
      <c r="N8" s="258"/>
      <c r="O8" s="259"/>
      <c r="P8" s="114"/>
      <c r="Q8" s="145" t="s">
        <v>232</v>
      </c>
      <c r="R8" s="121" t="s">
        <v>227</v>
      </c>
      <c r="S8" s="115" t="s">
        <v>233</v>
      </c>
      <c r="T8" s="116" t="s">
        <v>239</v>
      </c>
      <c r="U8" s="114"/>
      <c r="V8" s="225" t="s">
        <v>451</v>
      </c>
      <c r="W8" s="260" t="s">
        <v>452</v>
      </c>
      <c r="X8" s="261"/>
      <c r="Y8" s="224"/>
    </row>
    <row r="9" spans="2:28" ht="65.25" customHeight="1" thickBot="1" x14ac:dyDescent="0.3">
      <c r="B9" s="187" t="s">
        <v>385</v>
      </c>
      <c r="C9" s="182" t="s">
        <v>386</v>
      </c>
      <c r="D9" s="191" t="s">
        <v>387</v>
      </c>
      <c r="E9" s="171" t="s">
        <v>388</v>
      </c>
      <c r="F9" s="172" t="s">
        <v>389</v>
      </c>
      <c r="G9" s="15"/>
      <c r="H9" s="15"/>
      <c r="I9" s="15"/>
      <c r="J9" s="15"/>
      <c r="P9" s="114"/>
      <c r="Q9" s="146" t="s">
        <v>264</v>
      </c>
      <c r="R9" s="122" t="s">
        <v>227</v>
      </c>
      <c r="S9" s="117" t="s">
        <v>234</v>
      </c>
      <c r="T9" s="125" t="s">
        <v>240</v>
      </c>
      <c r="U9" s="114"/>
      <c r="V9" s="67">
        <v>1</v>
      </c>
      <c r="W9" s="262" t="s">
        <v>454</v>
      </c>
      <c r="X9" s="263"/>
    </row>
    <row r="10" spans="2:28" ht="76.5" customHeight="1" thickBot="1" x14ac:dyDescent="0.3">
      <c r="B10" s="187" t="s">
        <v>390</v>
      </c>
      <c r="C10" s="182" t="s">
        <v>386</v>
      </c>
      <c r="D10" s="191" t="s">
        <v>391</v>
      </c>
      <c r="E10" s="171" t="s">
        <v>392</v>
      </c>
      <c r="F10" s="172" t="s">
        <v>393</v>
      </c>
      <c r="G10" s="15"/>
      <c r="H10" s="15"/>
      <c r="I10" s="15"/>
      <c r="J10" s="15"/>
      <c r="L10" s="114"/>
      <c r="M10" s="114"/>
      <c r="N10" s="114"/>
      <c r="O10" s="114"/>
      <c r="P10" s="114"/>
      <c r="U10" s="114"/>
      <c r="V10" s="2">
        <v>2</v>
      </c>
      <c r="W10" s="243" t="s">
        <v>453</v>
      </c>
      <c r="X10" s="244"/>
    </row>
    <row r="11" spans="2:28" ht="74.25" customHeight="1" thickBot="1" x14ac:dyDescent="0.3">
      <c r="B11" s="187" t="s">
        <v>394</v>
      </c>
      <c r="C11" s="182" t="s">
        <v>386</v>
      </c>
      <c r="D11" s="191" t="s">
        <v>395</v>
      </c>
      <c r="E11" s="171" t="s">
        <v>396</v>
      </c>
      <c r="F11" s="172" t="s">
        <v>397</v>
      </c>
      <c r="G11" s="15"/>
      <c r="H11" s="15"/>
      <c r="I11" s="15"/>
      <c r="J11" s="15"/>
      <c r="L11" s="114"/>
      <c r="M11" s="114"/>
      <c r="N11" s="114"/>
      <c r="O11" s="114"/>
      <c r="P11" s="114"/>
      <c r="Q11" s="254" t="s">
        <v>259</v>
      </c>
      <c r="R11" s="255"/>
      <c r="S11" s="255"/>
      <c r="T11" s="256"/>
      <c r="U11" s="114"/>
      <c r="V11" s="1">
        <v>3</v>
      </c>
      <c r="W11" s="243" t="s">
        <v>425</v>
      </c>
      <c r="X11" s="244"/>
    </row>
    <row r="12" spans="2:28" ht="47.25" customHeight="1" thickBot="1" x14ac:dyDescent="0.3">
      <c r="B12" s="187" t="s">
        <v>398</v>
      </c>
      <c r="C12" s="182" t="s">
        <v>386</v>
      </c>
      <c r="D12" s="191" t="s">
        <v>399</v>
      </c>
      <c r="E12" s="171" t="s">
        <v>400</v>
      </c>
      <c r="F12" s="172"/>
      <c r="G12" s="15"/>
      <c r="H12" s="15"/>
      <c r="I12" s="15"/>
      <c r="J12" s="15"/>
      <c r="L12" s="114"/>
      <c r="M12" s="114"/>
      <c r="N12" s="114"/>
      <c r="O12" s="114"/>
      <c r="P12" s="114"/>
      <c r="Q12" s="126" t="s">
        <v>241</v>
      </c>
      <c r="R12" s="155" t="s">
        <v>224</v>
      </c>
      <c r="S12" s="155" t="s">
        <v>225</v>
      </c>
      <c r="T12" s="156" t="s">
        <v>226</v>
      </c>
      <c r="U12" s="114"/>
      <c r="V12" s="2">
        <v>4</v>
      </c>
      <c r="W12" s="243" t="s">
        <v>460</v>
      </c>
      <c r="X12" s="244"/>
    </row>
    <row r="13" spans="2:28" ht="47.25" customHeight="1" x14ac:dyDescent="0.25">
      <c r="B13" s="187" t="s">
        <v>401</v>
      </c>
      <c r="C13" s="182" t="s">
        <v>386</v>
      </c>
      <c r="D13" s="191" t="s">
        <v>402</v>
      </c>
      <c r="E13" s="171" t="s">
        <v>403</v>
      </c>
      <c r="F13" s="172"/>
      <c r="G13" s="15"/>
      <c r="H13" s="15"/>
      <c r="I13" s="15"/>
      <c r="J13" s="15"/>
      <c r="L13" s="114"/>
      <c r="M13" s="114"/>
      <c r="N13" s="114"/>
      <c r="O13" s="114"/>
      <c r="P13" s="114"/>
      <c r="Q13" s="147" t="s">
        <v>242</v>
      </c>
      <c r="R13" s="141" t="s">
        <v>243</v>
      </c>
      <c r="S13" s="142" t="s">
        <v>244</v>
      </c>
      <c r="T13" s="143" t="s">
        <v>245</v>
      </c>
      <c r="U13" s="114"/>
      <c r="V13" s="1">
        <v>5</v>
      </c>
      <c r="W13" s="243"/>
      <c r="X13" s="244"/>
    </row>
    <row r="14" spans="2:28" ht="47.25" customHeight="1" x14ac:dyDescent="0.25">
      <c r="B14" s="187" t="s">
        <v>404</v>
      </c>
      <c r="C14" s="182" t="s">
        <v>386</v>
      </c>
      <c r="D14" s="191" t="s">
        <v>405</v>
      </c>
      <c r="E14" s="171" t="s">
        <v>406</v>
      </c>
      <c r="F14" s="172"/>
      <c r="G14" s="15"/>
      <c r="H14" s="15"/>
      <c r="I14" s="15"/>
      <c r="J14" s="15"/>
      <c r="L14" s="114"/>
      <c r="M14" s="114"/>
      <c r="N14" s="114"/>
      <c r="O14" s="114"/>
      <c r="P14" s="114"/>
      <c r="Q14" s="148" t="s">
        <v>246</v>
      </c>
      <c r="R14" s="139" t="s">
        <v>243</v>
      </c>
      <c r="S14" s="134" t="s">
        <v>247</v>
      </c>
      <c r="T14" s="135" t="s">
        <v>248</v>
      </c>
      <c r="U14" s="114"/>
      <c r="V14" s="2">
        <v>6</v>
      </c>
      <c r="W14" s="243"/>
      <c r="X14" s="244"/>
    </row>
    <row r="15" spans="2:28" ht="69" customHeight="1" x14ac:dyDescent="0.25">
      <c r="B15" s="187" t="s">
        <v>407</v>
      </c>
      <c r="C15" s="182" t="s">
        <v>386</v>
      </c>
      <c r="D15" s="191" t="s">
        <v>408</v>
      </c>
      <c r="E15" s="171" t="s">
        <v>409</v>
      </c>
      <c r="F15" s="172"/>
      <c r="G15" s="15"/>
      <c r="H15" s="15"/>
      <c r="I15" s="15"/>
      <c r="J15" s="15"/>
      <c r="L15" s="114"/>
      <c r="M15" s="114"/>
      <c r="N15" s="114"/>
      <c r="O15" s="114"/>
      <c r="P15" s="114"/>
      <c r="Q15" s="148" t="s">
        <v>249</v>
      </c>
      <c r="R15" s="139" t="s">
        <v>250</v>
      </c>
      <c r="S15" s="134" t="s">
        <v>251</v>
      </c>
      <c r="T15" s="135" t="s">
        <v>252</v>
      </c>
      <c r="U15" s="114"/>
      <c r="V15" s="1">
        <v>7</v>
      </c>
      <c r="W15" s="243"/>
      <c r="X15" s="244"/>
    </row>
    <row r="16" spans="2:28" ht="62.25" customHeight="1" x14ac:dyDescent="0.25">
      <c r="B16" s="187" t="s">
        <v>410</v>
      </c>
      <c r="C16" s="182" t="s">
        <v>386</v>
      </c>
      <c r="D16" s="191" t="s">
        <v>411</v>
      </c>
      <c r="E16" s="171" t="s">
        <v>412</v>
      </c>
      <c r="F16" s="172"/>
      <c r="Q16" s="148" t="s">
        <v>253</v>
      </c>
      <c r="R16" s="139" t="s">
        <v>227</v>
      </c>
      <c r="S16" s="134" t="s">
        <v>254</v>
      </c>
      <c r="T16" s="136" t="s">
        <v>255</v>
      </c>
      <c r="V16" s="2">
        <v>8</v>
      </c>
      <c r="W16" s="243"/>
      <c r="X16" s="244"/>
    </row>
    <row r="17" spans="2:24" ht="69.75" customHeight="1" thickBot="1" x14ac:dyDescent="0.3">
      <c r="B17" s="189" t="s">
        <v>413</v>
      </c>
      <c r="C17" s="184" t="s">
        <v>386</v>
      </c>
      <c r="D17" s="193" t="s">
        <v>414</v>
      </c>
      <c r="E17" s="174" t="s">
        <v>415</v>
      </c>
      <c r="F17" s="175"/>
      <c r="Q17" s="149" t="s">
        <v>256</v>
      </c>
      <c r="R17" s="140" t="s">
        <v>250</v>
      </c>
      <c r="S17" s="137" t="s">
        <v>257</v>
      </c>
      <c r="T17" s="138" t="s">
        <v>258</v>
      </c>
      <c r="V17" s="226">
        <v>9</v>
      </c>
      <c r="W17" s="241"/>
      <c r="X17" s="242"/>
    </row>
    <row r="18" spans="2:24" ht="51.75" customHeight="1" thickBot="1" x14ac:dyDescent="0.3"/>
    <row r="19" spans="2:24" ht="51.75" customHeight="1" thickBot="1" x14ac:dyDescent="0.3">
      <c r="B19" s="102" t="s">
        <v>178</v>
      </c>
      <c r="C19" s="103" t="s">
        <v>179</v>
      </c>
      <c r="D19" s="104" t="s">
        <v>180</v>
      </c>
      <c r="E19" s="104" t="s">
        <v>181</v>
      </c>
      <c r="F19" s="105" t="s">
        <v>182</v>
      </c>
      <c r="G19" s="273" t="s">
        <v>220</v>
      </c>
      <c r="H19" s="274"/>
      <c r="I19" s="274"/>
      <c r="J19" s="275"/>
    </row>
    <row r="20" spans="2:24" ht="51.75" customHeight="1" thickBot="1" x14ac:dyDescent="0.3">
      <c r="B20" s="167" t="s">
        <v>183</v>
      </c>
      <c r="C20" s="290" t="s">
        <v>184</v>
      </c>
      <c r="D20" s="106" t="s">
        <v>183</v>
      </c>
      <c r="E20" s="107" t="s">
        <v>185</v>
      </c>
      <c r="F20" s="108" t="s">
        <v>186</v>
      </c>
      <c r="G20" s="292" t="s">
        <v>455</v>
      </c>
      <c r="H20" s="293"/>
      <c r="I20" s="293"/>
      <c r="J20" s="294"/>
    </row>
    <row r="21" spans="2:24" ht="51.75" customHeight="1" thickBot="1" x14ac:dyDescent="0.3">
      <c r="B21" s="169"/>
      <c r="C21" s="295"/>
      <c r="D21" s="94" t="s">
        <v>187</v>
      </c>
      <c r="E21" s="95" t="s">
        <v>188</v>
      </c>
      <c r="F21" s="97" t="s">
        <v>189</v>
      </c>
      <c r="G21" s="276" t="s">
        <v>221</v>
      </c>
      <c r="H21" s="277"/>
      <c r="I21" s="277"/>
      <c r="J21" s="278"/>
    </row>
    <row r="22" spans="2:24" ht="51.75" customHeight="1" thickBot="1" x14ac:dyDescent="0.3">
      <c r="B22" s="168"/>
      <c r="C22" s="291"/>
      <c r="D22" s="99" t="s">
        <v>190</v>
      </c>
      <c r="E22" s="109" t="s">
        <v>191</v>
      </c>
      <c r="F22" s="100" t="s">
        <v>192</v>
      </c>
      <c r="G22" s="15"/>
      <c r="H22" s="15"/>
      <c r="I22" s="15"/>
      <c r="J22" s="15"/>
    </row>
    <row r="23" spans="2:24" ht="51.75" customHeight="1" x14ac:dyDescent="0.25">
      <c r="B23" s="167" t="s">
        <v>193</v>
      </c>
      <c r="C23" s="290" t="s">
        <v>194</v>
      </c>
      <c r="D23" s="106" t="s">
        <v>195</v>
      </c>
      <c r="E23" s="107" t="s">
        <v>196</v>
      </c>
      <c r="F23" s="108" t="s">
        <v>195</v>
      </c>
      <c r="G23" s="15"/>
      <c r="H23" s="15"/>
      <c r="I23" s="15"/>
      <c r="J23" s="15"/>
    </row>
    <row r="24" spans="2:24" ht="51.75" customHeight="1" thickBot="1" x14ac:dyDescent="0.3">
      <c r="B24" s="168"/>
      <c r="C24" s="291"/>
      <c r="D24" s="99" t="s">
        <v>197</v>
      </c>
      <c r="E24" s="98" t="s">
        <v>198</v>
      </c>
      <c r="F24" s="100" t="s">
        <v>195</v>
      </c>
      <c r="G24" s="15"/>
      <c r="H24" s="15"/>
      <c r="I24" s="15"/>
      <c r="J24" s="15"/>
    </row>
    <row r="25" spans="2:24" ht="51.75" customHeight="1" x14ac:dyDescent="0.25">
      <c r="B25" s="167" t="s">
        <v>199</v>
      </c>
      <c r="C25" s="290" t="s">
        <v>200</v>
      </c>
      <c r="D25" s="106" t="s">
        <v>195</v>
      </c>
      <c r="E25" s="96" t="s">
        <v>201</v>
      </c>
      <c r="F25" s="108" t="s">
        <v>202</v>
      </c>
      <c r="G25" s="15"/>
      <c r="H25" s="15"/>
      <c r="I25" s="15"/>
      <c r="J25" s="15"/>
    </row>
    <row r="26" spans="2:24" ht="51.75" customHeight="1" thickBot="1" x14ac:dyDescent="0.3">
      <c r="B26" s="168"/>
      <c r="C26" s="291"/>
      <c r="D26" s="99" t="s">
        <v>193</v>
      </c>
      <c r="E26" s="98" t="s">
        <v>203</v>
      </c>
      <c r="F26" s="100" t="s">
        <v>195</v>
      </c>
      <c r="G26" s="15"/>
      <c r="H26" s="15"/>
      <c r="I26" s="15"/>
      <c r="J26" s="15"/>
    </row>
    <row r="27" spans="2:24" ht="51.75" customHeight="1" x14ac:dyDescent="0.25">
      <c r="B27" s="167" t="s">
        <v>204</v>
      </c>
      <c r="C27" s="290" t="s">
        <v>205</v>
      </c>
      <c r="D27" s="106" t="s">
        <v>183</v>
      </c>
      <c r="E27" s="107" t="s">
        <v>206</v>
      </c>
      <c r="F27" s="108" t="s">
        <v>195</v>
      </c>
      <c r="G27" s="15"/>
      <c r="H27" s="15"/>
      <c r="I27" s="15"/>
      <c r="J27" s="15"/>
    </row>
    <row r="28" spans="2:24" ht="51.75" customHeight="1" thickBot="1" x14ac:dyDescent="0.3">
      <c r="B28" s="168"/>
      <c r="C28" s="291"/>
      <c r="D28" s="99" t="s">
        <v>199</v>
      </c>
      <c r="E28" s="98" t="s">
        <v>207</v>
      </c>
      <c r="F28" s="100" t="s">
        <v>195</v>
      </c>
      <c r="G28" s="15"/>
      <c r="H28" s="15"/>
      <c r="I28" s="15"/>
      <c r="J28" s="15"/>
    </row>
    <row r="29" spans="2:24" ht="51.75" customHeight="1" thickBot="1" x14ac:dyDescent="0.3">
      <c r="B29" s="113" t="s">
        <v>208</v>
      </c>
      <c r="C29" s="101" t="s">
        <v>209</v>
      </c>
      <c r="D29" s="110" t="s">
        <v>195</v>
      </c>
      <c r="E29" s="111" t="s">
        <v>210</v>
      </c>
      <c r="F29" s="112" t="s">
        <v>195</v>
      </c>
      <c r="G29" s="15"/>
      <c r="H29" s="15"/>
      <c r="I29" s="15"/>
      <c r="J29" s="15"/>
    </row>
    <row r="30" spans="2:24" ht="51.75" customHeight="1" x14ac:dyDescent="0.25">
      <c r="B30" s="167" t="s">
        <v>187</v>
      </c>
      <c r="C30" s="290" t="s">
        <v>211</v>
      </c>
      <c r="D30" s="106" t="s">
        <v>195</v>
      </c>
      <c r="E30" s="107" t="s">
        <v>212</v>
      </c>
      <c r="F30" s="108" t="s">
        <v>195</v>
      </c>
      <c r="G30" s="15"/>
      <c r="H30" s="15"/>
      <c r="I30" s="15"/>
      <c r="J30" s="15"/>
    </row>
    <row r="31" spans="2:24" ht="45.75" thickBot="1" x14ac:dyDescent="0.3">
      <c r="B31" s="168"/>
      <c r="C31" s="291"/>
      <c r="D31" s="99" t="s">
        <v>204</v>
      </c>
      <c r="E31" s="109" t="s">
        <v>213</v>
      </c>
      <c r="F31" s="100" t="s">
        <v>214</v>
      </c>
      <c r="G31" s="15"/>
      <c r="H31" s="15"/>
      <c r="I31" s="15"/>
      <c r="J31" s="15"/>
    </row>
    <row r="32" spans="2:24" ht="30" x14ac:dyDescent="0.25">
      <c r="B32" s="167" t="s">
        <v>215</v>
      </c>
      <c r="C32" s="290" t="s">
        <v>216</v>
      </c>
      <c r="D32" s="106" t="s">
        <v>199</v>
      </c>
      <c r="E32" s="96" t="s">
        <v>217</v>
      </c>
      <c r="F32" s="108" t="s">
        <v>218</v>
      </c>
      <c r="G32" s="15"/>
      <c r="H32" s="15"/>
      <c r="I32" s="15"/>
      <c r="J32" s="15"/>
    </row>
    <row r="33" spans="2:10" ht="43.5" thickBot="1" x14ac:dyDescent="0.3">
      <c r="B33" s="168"/>
      <c r="C33" s="291"/>
      <c r="D33" s="99" t="s">
        <v>208</v>
      </c>
      <c r="E33" s="98" t="s">
        <v>219</v>
      </c>
      <c r="F33" s="100" t="s">
        <v>195</v>
      </c>
      <c r="G33" s="15"/>
      <c r="H33" s="15"/>
      <c r="I33" s="15"/>
      <c r="J33" s="15"/>
    </row>
  </sheetData>
  <mergeCells count="33">
    <mergeCell ref="C27:C28"/>
    <mergeCell ref="C30:C31"/>
    <mergeCell ref="C32:C33"/>
    <mergeCell ref="G21:J21"/>
    <mergeCell ref="G20:J20"/>
    <mergeCell ref="C20:C22"/>
    <mergeCell ref="C23:C24"/>
    <mergeCell ref="C25:C26"/>
    <mergeCell ref="G19:J19"/>
    <mergeCell ref="H8:J8"/>
    <mergeCell ref="G2:J2"/>
    <mergeCell ref="H6:J6"/>
    <mergeCell ref="H5:J5"/>
    <mergeCell ref="H4:J4"/>
    <mergeCell ref="H3:J3"/>
    <mergeCell ref="H7:J7"/>
    <mergeCell ref="V2:AB2"/>
    <mergeCell ref="L2:O2"/>
    <mergeCell ref="Q2:T2"/>
    <mergeCell ref="Q11:T11"/>
    <mergeCell ref="L8:O8"/>
    <mergeCell ref="W8:X8"/>
    <mergeCell ref="W9:X9"/>
    <mergeCell ref="W10:X10"/>
    <mergeCell ref="W11:X11"/>
    <mergeCell ref="Z3:AB3"/>
    <mergeCell ref="Z4:AB6"/>
    <mergeCell ref="W17:X17"/>
    <mergeCell ref="W12:X12"/>
    <mergeCell ref="W13:X13"/>
    <mergeCell ref="W14:X14"/>
    <mergeCell ref="W15:X15"/>
    <mergeCell ref="W16:X1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7C92-48AD-46D8-AFE8-A66BE9216D0D}">
  <dimension ref="A1:O25"/>
  <sheetViews>
    <sheetView tabSelected="1" zoomScale="115" zoomScaleNormal="115" workbookViewId="0">
      <selection activeCell="H4" sqref="H4"/>
    </sheetView>
  </sheetViews>
  <sheetFormatPr baseColWidth="10" defaultRowHeight="15" x14ac:dyDescent="0.25"/>
  <cols>
    <col min="2" max="3" width="8.28515625" customWidth="1"/>
    <col min="4" max="4" width="9.5703125" customWidth="1"/>
    <col min="5" max="5" width="12.5703125" customWidth="1"/>
    <col min="6" max="6" width="11.5703125" customWidth="1"/>
    <col min="7" max="7" width="14.7109375" customWidth="1"/>
    <col min="8" max="8" width="19.42578125" customWidth="1"/>
  </cols>
  <sheetData>
    <row r="1" spans="1:15" ht="15.75" thickBot="1" x14ac:dyDescent="0.3">
      <c r="A1" s="227"/>
      <c r="B1" s="228"/>
      <c r="C1" s="228"/>
      <c r="D1" s="228"/>
      <c r="E1" s="228"/>
      <c r="F1" s="228"/>
      <c r="G1" s="228"/>
      <c r="H1" s="228"/>
      <c r="I1" s="229"/>
      <c r="J1" s="227"/>
      <c r="K1" s="228"/>
      <c r="L1" s="228"/>
      <c r="M1" s="228"/>
      <c r="N1" s="228"/>
      <c r="O1" s="229"/>
    </row>
    <row r="2" spans="1:15" ht="15.75" customHeight="1" thickBot="1" x14ac:dyDescent="0.3">
      <c r="A2" s="230"/>
      <c r="B2" s="406" t="s">
        <v>425</v>
      </c>
      <c r="C2" s="407"/>
      <c r="D2" s="407"/>
      <c r="E2" s="407"/>
      <c r="F2" s="407"/>
      <c r="G2" s="408"/>
      <c r="I2" s="231"/>
      <c r="J2" s="230"/>
      <c r="K2" s="406" t="s">
        <v>461</v>
      </c>
      <c r="L2" s="407"/>
      <c r="M2" s="407"/>
      <c r="N2" s="408"/>
      <c r="O2" s="231"/>
    </row>
    <row r="3" spans="1:15" ht="15.75" thickBot="1" x14ac:dyDescent="0.3">
      <c r="A3" s="230"/>
      <c r="B3" s="194" t="s">
        <v>424</v>
      </c>
      <c r="C3" s="195" t="s">
        <v>426</v>
      </c>
      <c r="D3" s="195" t="s">
        <v>427</v>
      </c>
      <c r="E3" s="195" t="s">
        <v>429</v>
      </c>
      <c r="F3" s="430" t="s">
        <v>428</v>
      </c>
      <c r="G3" s="431"/>
      <c r="I3" s="231"/>
      <c r="J3" s="230"/>
      <c r="K3" s="194" t="s">
        <v>424</v>
      </c>
      <c r="L3" s="195" t="s">
        <v>429</v>
      </c>
      <c r="M3" s="398" t="s">
        <v>428</v>
      </c>
      <c r="N3" s="399"/>
      <c r="O3" s="231"/>
    </row>
    <row r="4" spans="1:15" ht="30.75" customHeight="1" x14ac:dyDescent="0.25">
      <c r="A4" s="230"/>
      <c r="B4" s="196">
        <v>0</v>
      </c>
      <c r="C4" s="201"/>
      <c r="D4" s="202"/>
      <c r="E4" s="239" t="s">
        <v>9</v>
      </c>
      <c r="F4" s="436" t="s">
        <v>435</v>
      </c>
      <c r="G4" s="437"/>
      <c r="I4" s="231"/>
      <c r="J4" s="230"/>
      <c r="K4" s="196">
        <v>0</v>
      </c>
      <c r="L4" s="236" t="s">
        <v>9</v>
      </c>
      <c r="M4" s="400" t="s">
        <v>435</v>
      </c>
      <c r="N4" s="401"/>
      <c r="O4" s="231"/>
    </row>
    <row r="5" spans="1:15" ht="15" customHeight="1" x14ac:dyDescent="0.25">
      <c r="A5" s="230"/>
      <c r="B5" s="197">
        <v>1</v>
      </c>
      <c r="C5" s="198" t="s">
        <v>438</v>
      </c>
      <c r="D5" s="218" t="s">
        <v>440</v>
      </c>
      <c r="E5" s="219" t="s">
        <v>430</v>
      </c>
      <c r="F5" s="438" t="s">
        <v>439</v>
      </c>
      <c r="G5" s="439"/>
      <c r="I5" s="231"/>
      <c r="J5" s="230"/>
      <c r="K5" s="197">
        <v>1</v>
      </c>
      <c r="L5" s="237" t="s">
        <v>462</v>
      </c>
      <c r="M5" s="402" t="s">
        <v>463</v>
      </c>
      <c r="N5" s="403"/>
      <c r="O5" s="231"/>
    </row>
    <row r="6" spans="1:15" ht="15.75" customHeight="1" thickBot="1" x14ac:dyDescent="0.3">
      <c r="A6" s="230"/>
      <c r="B6" s="197">
        <v>2</v>
      </c>
      <c r="C6" s="223"/>
      <c r="D6" s="199" t="s">
        <v>440</v>
      </c>
      <c r="E6" s="219" t="s">
        <v>431</v>
      </c>
      <c r="F6" s="438" t="s">
        <v>436</v>
      </c>
      <c r="G6" s="439"/>
      <c r="I6" s="231"/>
      <c r="J6" s="230"/>
      <c r="K6" s="200">
        <v>2</v>
      </c>
      <c r="L6" s="238" t="s">
        <v>308</v>
      </c>
      <c r="M6" s="404" t="s">
        <v>464</v>
      </c>
      <c r="N6" s="405"/>
      <c r="O6" s="231"/>
    </row>
    <row r="7" spans="1:15" ht="15.75" customHeight="1" thickBot="1" x14ac:dyDescent="0.3">
      <c r="A7" s="230"/>
      <c r="B7" s="197">
        <v>3</v>
      </c>
      <c r="C7" s="204"/>
      <c r="D7" s="203"/>
      <c r="E7" s="219" t="s">
        <v>432</v>
      </c>
      <c r="F7" s="438" t="s">
        <v>437</v>
      </c>
      <c r="G7" s="439"/>
      <c r="I7" s="231"/>
      <c r="J7" s="230"/>
      <c r="O7" s="231"/>
    </row>
    <row r="8" spans="1:15" ht="15.75" customHeight="1" thickBot="1" x14ac:dyDescent="0.3">
      <c r="A8" s="230"/>
      <c r="B8" s="197">
        <v>4</v>
      </c>
      <c r="C8" s="198" t="s">
        <v>441</v>
      </c>
      <c r="D8" s="203"/>
      <c r="E8" s="219" t="s">
        <v>433</v>
      </c>
      <c r="F8" s="438" t="s">
        <v>442</v>
      </c>
      <c r="G8" s="439"/>
      <c r="I8" s="231"/>
      <c r="J8" s="230"/>
      <c r="K8" s="396" t="s">
        <v>443</v>
      </c>
      <c r="L8" s="214">
        <v>2</v>
      </c>
      <c r="M8" s="214">
        <v>1</v>
      </c>
      <c r="N8" s="215">
        <v>0</v>
      </c>
      <c r="O8" s="231"/>
    </row>
    <row r="9" spans="1:15" ht="30.75" thickBot="1" x14ac:dyDescent="0.3">
      <c r="A9" s="230"/>
      <c r="B9" s="197">
        <v>5</v>
      </c>
      <c r="C9" s="204"/>
      <c r="D9" s="203"/>
      <c r="E9" s="220" t="s">
        <v>434</v>
      </c>
      <c r="F9" s="432"/>
      <c r="G9" s="433"/>
      <c r="I9" s="231"/>
      <c r="J9" s="230"/>
      <c r="K9" s="397"/>
      <c r="L9" s="217"/>
      <c r="M9" s="217"/>
      <c r="N9" s="235" t="s">
        <v>465</v>
      </c>
      <c r="O9" s="231"/>
    </row>
    <row r="10" spans="1:15" x14ac:dyDescent="0.25">
      <c r="A10" s="230"/>
      <c r="B10" s="197">
        <v>6</v>
      </c>
      <c r="C10" s="204"/>
      <c r="D10" s="203"/>
      <c r="E10" s="221" t="s">
        <v>434</v>
      </c>
      <c r="F10" s="432"/>
      <c r="G10" s="433"/>
      <c r="I10" s="231"/>
      <c r="J10" s="230"/>
      <c r="O10" s="231"/>
    </row>
    <row r="11" spans="1:15" ht="15.75" thickBot="1" x14ac:dyDescent="0.3">
      <c r="A11" s="230"/>
      <c r="B11" s="200">
        <v>7</v>
      </c>
      <c r="C11" s="205"/>
      <c r="D11" s="206"/>
      <c r="E11" s="222" t="s">
        <v>434</v>
      </c>
      <c r="F11" s="434"/>
      <c r="G11" s="435"/>
      <c r="I11" s="231"/>
      <c r="J11" s="232"/>
      <c r="K11" s="233"/>
      <c r="L11" s="233"/>
      <c r="M11" s="233"/>
      <c r="N11" s="233"/>
      <c r="O11" s="234"/>
    </row>
    <row r="12" spans="1:15" ht="15.75" thickBot="1" x14ac:dyDescent="0.3">
      <c r="A12" s="230"/>
      <c r="I12" s="231"/>
      <c r="O12" s="240"/>
    </row>
    <row r="13" spans="1:15" ht="15.75" thickBot="1" x14ac:dyDescent="0.3">
      <c r="A13" s="230"/>
      <c r="B13" s="208" t="s">
        <v>444</v>
      </c>
      <c r="C13" s="427" t="s">
        <v>155</v>
      </c>
      <c r="D13" s="428"/>
      <c r="E13" s="429"/>
      <c r="I13" s="231"/>
    </row>
    <row r="14" spans="1:15" x14ac:dyDescent="0.25">
      <c r="A14" s="230"/>
      <c r="B14" s="209">
        <v>0</v>
      </c>
      <c r="C14" s="418" t="s">
        <v>449</v>
      </c>
      <c r="D14" s="419"/>
      <c r="E14" s="420"/>
      <c r="I14" s="231"/>
    </row>
    <row r="15" spans="1:15" x14ac:dyDescent="0.25">
      <c r="A15" s="230"/>
      <c r="B15" s="210">
        <v>1</v>
      </c>
      <c r="C15" s="421" t="s">
        <v>447</v>
      </c>
      <c r="D15" s="422"/>
      <c r="E15" s="423"/>
      <c r="I15" s="231"/>
    </row>
    <row r="16" spans="1:15" x14ac:dyDescent="0.25">
      <c r="A16" s="230"/>
      <c r="B16" s="210">
        <v>2</v>
      </c>
      <c r="C16" s="409" t="s">
        <v>448</v>
      </c>
      <c r="D16" s="410"/>
      <c r="E16" s="411"/>
      <c r="I16" s="231"/>
    </row>
    <row r="17" spans="1:9" x14ac:dyDescent="0.25">
      <c r="A17" s="230"/>
      <c r="B17" s="210">
        <v>3</v>
      </c>
      <c r="C17" s="424" t="s">
        <v>450</v>
      </c>
      <c r="D17" s="425"/>
      <c r="E17" s="426"/>
      <c r="I17" s="231"/>
    </row>
    <row r="18" spans="1:9" x14ac:dyDescent="0.25">
      <c r="A18" s="230"/>
      <c r="B18" s="210">
        <v>4</v>
      </c>
      <c r="C18" s="412"/>
      <c r="D18" s="413"/>
      <c r="E18" s="414"/>
      <c r="I18" s="231"/>
    </row>
    <row r="19" spans="1:9" x14ac:dyDescent="0.25">
      <c r="A19" s="230"/>
      <c r="B19" s="210">
        <v>5</v>
      </c>
      <c r="C19" s="412"/>
      <c r="D19" s="413"/>
      <c r="E19" s="414"/>
      <c r="I19" s="231"/>
    </row>
    <row r="20" spans="1:9" x14ac:dyDescent="0.25">
      <c r="A20" s="230"/>
      <c r="B20" s="210">
        <v>6</v>
      </c>
      <c r="C20" s="412"/>
      <c r="D20" s="413"/>
      <c r="E20" s="414"/>
      <c r="I20" s="231"/>
    </row>
    <row r="21" spans="1:9" ht="15.75" thickBot="1" x14ac:dyDescent="0.3">
      <c r="A21" s="230"/>
      <c r="B21" s="211">
        <v>7</v>
      </c>
      <c r="C21" s="415"/>
      <c r="D21" s="416"/>
      <c r="E21" s="417"/>
      <c r="I21" s="231"/>
    </row>
    <row r="22" spans="1:9" ht="15.75" thickBot="1" x14ac:dyDescent="0.3">
      <c r="A22" s="230"/>
      <c r="I22" s="231"/>
    </row>
    <row r="23" spans="1:9" ht="15.75" thickBot="1" x14ac:dyDescent="0.3">
      <c r="A23" s="230"/>
      <c r="B23" s="396" t="s">
        <v>443</v>
      </c>
      <c r="C23" s="207">
        <v>5</v>
      </c>
      <c r="D23" s="214">
        <v>4</v>
      </c>
      <c r="E23" s="214">
        <v>3</v>
      </c>
      <c r="F23" s="214">
        <v>2</v>
      </c>
      <c r="G23" s="214">
        <v>1</v>
      </c>
      <c r="H23" s="215">
        <v>0</v>
      </c>
      <c r="I23" s="231"/>
    </row>
    <row r="24" spans="1:9" ht="15.75" thickBot="1" x14ac:dyDescent="0.3">
      <c r="A24" s="230"/>
      <c r="B24" s="397"/>
      <c r="C24" s="216"/>
      <c r="D24" s="217"/>
      <c r="E24" s="217"/>
      <c r="F24" s="217"/>
      <c r="G24" s="212" t="s">
        <v>446</v>
      </c>
      <c r="H24" s="213" t="s">
        <v>445</v>
      </c>
      <c r="I24" s="231"/>
    </row>
    <row r="25" spans="1:9" ht="15.75" thickBot="1" x14ac:dyDescent="0.3">
      <c r="A25" s="232"/>
      <c r="B25" s="233"/>
      <c r="C25" s="233"/>
      <c r="D25" s="233"/>
      <c r="E25" s="233"/>
      <c r="F25" s="233"/>
      <c r="G25" s="233"/>
      <c r="H25" s="233"/>
      <c r="I25" s="234"/>
    </row>
  </sheetData>
  <mergeCells count="26">
    <mergeCell ref="F7:G7"/>
    <mergeCell ref="F8:G8"/>
    <mergeCell ref="F9:G9"/>
    <mergeCell ref="F10:G10"/>
    <mergeCell ref="F11:G11"/>
    <mergeCell ref="B2:G2"/>
    <mergeCell ref="F3:G3"/>
    <mergeCell ref="F4:G4"/>
    <mergeCell ref="F5:G5"/>
    <mergeCell ref="F6:G6"/>
    <mergeCell ref="K2:N2"/>
    <mergeCell ref="B23:B24"/>
    <mergeCell ref="C16:E16"/>
    <mergeCell ref="C19:E19"/>
    <mergeCell ref="C18:E18"/>
    <mergeCell ref="C20:E20"/>
    <mergeCell ref="C21:E21"/>
    <mergeCell ref="C14:E14"/>
    <mergeCell ref="C15:E15"/>
    <mergeCell ref="C17:E17"/>
    <mergeCell ref="C13:E13"/>
    <mergeCell ref="K8:K9"/>
    <mergeCell ref="M3:N3"/>
    <mergeCell ref="M4:N4"/>
    <mergeCell ref="M5:N5"/>
    <mergeCell ref="M6:N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</vt:lpstr>
      <vt:lpstr>MMIO</vt:lpstr>
      <vt:lpstr>Perif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Licha Muñoz</dc:creator>
  <cp:lastModifiedBy>Licha Muñoz</cp:lastModifiedBy>
  <dcterms:created xsi:type="dcterms:W3CDTF">2015-06-05T18:17:20Z</dcterms:created>
  <dcterms:modified xsi:type="dcterms:W3CDTF">2026-09-28T12:04:34Z</dcterms:modified>
</cp:coreProperties>
</file>