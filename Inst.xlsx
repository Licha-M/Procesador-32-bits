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Escritorio\Procesador-32-bits\"/>
    </mc:Choice>
  </mc:AlternateContent>
  <xr:revisionPtr revIDLastSave="0" documentId="13_ncr:1_{1964A2DD-2D08-4306-B366-3BD95F5C1A1E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<sst xmlns="http://schemas.openxmlformats.org/spreadsheetml/2006/main" count="588" uniqueCount="355">
  <si>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</si>
  <si>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</si>
  <si>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</si>
  <si>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</si>
  <si>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</si>
  <si>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</si>
  <si>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</si>
  <si>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</si>
  <si>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</si>
  <si>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</si>
  <si>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</si>
  <si>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</si>
  <si>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</si>
  <si>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</si>
  <si>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</si>
  <si>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</si>
  <si>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</si>
  <si>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</si>
  <si>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</si>
  <si>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</si>
  <si>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</si>
  <si>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</si>
  <si>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</si>
  <si>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</si>
  <si>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</si>
  <si>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</si>
  <si>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</si>
  <si>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</si>
  <si>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</si>
  <si>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</si>
  <si>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</si>
  <si>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</si>
  <si>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</si>
  <si>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</si>
  <si>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</si>
  <si>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</si>
  <si>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</si>
  <si>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</si>
  <si>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</si>
  <si>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</si>
  <si>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</si>
  <si>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</si>
  <si>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</si>
  <si>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</si>
  <si>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</si>
  <si>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</si>
  <si>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</si>
  <si>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</si>
  <si>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</si>
  <si>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</si>
  <si>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</si>
  <si>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</si>
  <si>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</si>
  <si>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</si>
  <si>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</si>
  <si>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</si>
  <si>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</si>
  <si>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</si>
  <si>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</si>
  <si>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</si>
  <si>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</si>
  <si>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</si>
  <si>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</si>
  <si>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</si>
  <si>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</si>
  <si>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</si>
  <si>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</si>
  <si>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</si>
  <si>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</si>
  <si>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</si>
  <si>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</si>
  <si>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</si>
  <si>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</si>
  <si>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</si>
  <si>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</si>
  <si>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</si>
  <si>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</si>
  <si>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</si>
  <si>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</si>
  <si>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</si>
  <si>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</si>
  <si>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</si>
  <si>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</si>
  <si>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</si>
  <si>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</si>
  <si>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</si>
  <si>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</si>
  <si>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</si>
  <si>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</si>
  <si>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</si>
  <si>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</si>
  <si>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</si>
  <si>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</si>
  <si>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</si>
  <si>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</si>
  <si>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</si>
  <si>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</si>
  <si>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</si>
  <si>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</si>
  <si>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</si>
  <si>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</si>
  <si>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</si>
  <si>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</si>
  <si>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</si>
  <si>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</si>
  <si>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</si>
  <si>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</si>
  <si>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</si>
  <si>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</si>
  <si>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</si>
  <si>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</si>
  <si>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</si>
  <si>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</si>
  <si>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</si>
  <si>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</si>
  <si>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</si>
  <si>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</si>
  <si>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</si>
  <si>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</si>
  <si>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</si>
  <si>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</si>
  <si>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</si>
  <si>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</si>
  <si>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</si>
  <si>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</si>
  <si>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</si>
  <si>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</si>
  <si>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</si>
  <si>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</si>
  <si>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</si>
  <si>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</si>
  <si>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</si>
  <si>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</si>
  <si>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</si>
  <si>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</si>
  <si>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</si>
  <si>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</si>
  <si>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</si>
  <si>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</si>
  <si>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</si>
  <si>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</si>
  <si>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</si>
  <si>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</si>
  <si>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</si>
  <si>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</si>
  <si>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</si>
  <si>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</si>
  <si>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</si>
  <si>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</si>
  <si>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</si>
  <si>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</si>
  <si>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</si>
  <si>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</si>
  <si>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</si>
  <si>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</si>
  <si>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</si>
  <si>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</si>
  <si>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</si>
  <si>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</si>
  <si>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</si>
  <si>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</si>
  <si>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</si>
  <si>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</si>
  <si>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</si>
  <si>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</si>
  <si>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</si>
  <si>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</si>
  <si>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</si>
  <si>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</si>
  <si>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</si>
  <si>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</si>
  <si>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</si>
  <si>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</si>
  <si>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</si>
  <si>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</si>
  <si>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</si>
  <si>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</si>
  <si>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</si>
  <si>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</si>
  <si>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</si>
  <si>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</si>
  <si>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</si>
  <si>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</si>
  <si>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</si>
  <si>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</si>
  <si>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</si>
  <si>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</si>
  <si>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</si>
  <si>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</si>
  <si>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</si>
  <si>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</si>
  <si>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</si>
  <si>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</si>
  <si>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</si>
  <si>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</si>
  <si>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</si>
  <si>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</si>
  <si>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</si>
  <si>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</si>
  <si>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</si>
  <si>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</si>
  <si>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</si>
  <si>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</si>
  <si>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</si>
  <si>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</si>
  <si>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</si>
  <si>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</si>
  <si>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</si>
  <si>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</si>
  <si>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</si>
  <si>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</si>
  <si>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</si>
  <si>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</si>
  <si>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</si>
  <si>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</si>
  <si>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</si>
  <si>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</si>
  <si>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</si>
  <si>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</si>
  <si>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</si>
  <si>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</si>
  <si>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</si>
  <si>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</si>
  <si>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</si>
  <si>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</si>
  <si>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</si>
  <si>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</si>
  <si>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</si>
  <si>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</si>
  <si>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</si>
  <si>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</si>
  <si>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</si>
  <si>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</si>
  <si>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</si>
  <si>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</si>
  <si>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</si>
  <si>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</si>
  <si>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</si>
  <si>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</si>
  <si>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</si>
  <si>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</si>
  <si>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</si>
  <si>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</si>
  <si>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</si>
  <si>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</si>
  <si>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</si>
  <si>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</si>
  <si>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</si>
  <si>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</si>
  <si>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</si>
  <si>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</si>
  <si>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</si>
  <si>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</si>
  <si>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</si>
  <si>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</si>
  <si>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</si>
  <si>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</si>
  <si>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</si>
  <si>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</si>
  <si>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</si>
  <si>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</si>
  <si>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</si>
  <si>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</si>
  <si>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</si>
  <si>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</si>
  <si>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</si>
  <si>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</si>
  <si>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</si>
  <si>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</si>
  <si>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</si>
  <si>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</si>
  <si>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</si>
  <si>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</si>
  <si>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</si>
  <si>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</si>
  <si>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</si>
  <si>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</si>
  <si>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</si>
  <si>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</si>
  <si>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</si>
  <si>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</si>
  <si>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</si>
  <si>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</si>
  <si>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</si>
  <si>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</si>
  <si>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</si>
  <si>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</si>
  <si>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</si>
  <si>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</si>
  <si>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</si>
  <si>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</si>
  <si>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</si>
  <si>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</si>
  <si>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</si>
  <si>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</si>
  <si>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</si>
  <si>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</si>
  <si>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</si>
  <si>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</si>
  <si>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</si>
  <si>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</si>
  <si>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</si>
  <si>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</si>
  <si>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</si>
  <si>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</si>
  <si>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</si>
  <si>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</si>
  <si>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</si>
  <si>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</si>
  <si>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</si>
  <si>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</si>
  <si>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</si>
  <si>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</si>
  <si>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</si>
  <si>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</si>
  <si>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</si>
  <si>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</si>
  <si>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</si>
  <si>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</si>
  <si>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</si>
  <si>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</si>
  <si>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</si>
  <si>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</si>
  <si>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</si>
  <si>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</si>
  <si>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</si>
  <si>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</si>
  <si>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</si>
  <si>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</si>
  <si>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</si>
  <si>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</si>
  <si>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</si>
  <si>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</si>
  <si>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</si>
  <si>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Flags Especiales del Nucleo, como kernel previo o actual</t>
  </si>
  <si>
    <t>Actual Mode</t>
  </si>
  <si>
    <t>Previous Mode</t>
  </si>
  <si>
    <t>En_INTs</t>
  </si>
  <si>
    <t>Previous En_INTs</t>
  </si>
  <si>
    <t>Page Fault</t>
  </si>
  <si>
    <t>Lanzada en el momento exacto en el que la MMU detecta un error</t>
  </si>
  <si>
    <t>Nota: El codigo de error especifico esta en la mitad alta de CR0</t>
  </si>
  <si>
    <t>IF</t>
  </si>
  <si>
    <t>Read Only</t>
  </si>
  <si>
    <t>Error Code CR0</t>
  </si>
  <si>
    <t>Flag de control, si es 1 el error fue en el pedido de instrucciones</t>
  </si>
  <si>
    <t>Not Present</t>
  </si>
  <si>
    <t>Bit 0 - Control</t>
  </si>
  <si>
    <t>Nota: El bit "0" de la parte alta indentifica si el error fue de IF o MEM, los codigos reales empiezan a partir del bit 1</t>
  </si>
  <si>
    <t>Privilege Violation</t>
  </si>
  <si>
    <t>Executable</t>
  </si>
  <si>
    <t xml:space="preserve">Codigo para pagina no presente </t>
  </si>
  <si>
    <t>Codigo para acceso restringido, solo permitido para el kernel</t>
  </si>
  <si>
    <t>Codigo para acceso restringido de solo lectura</t>
  </si>
  <si>
    <t>Codigo para intento de ejecutar zona no ejecutable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</si>
</sst>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15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4" fillId="2" borderId="24" xfId="0" applyFont="1" applyFill="1" applyBorder="1" applyAlignment="1">
      <alignment horizontal="left" vertical="center" wrapText="1" indent="1" readingOrder="1"/>
    </xf>
    <xf numFmtId="0" fontId="4" fillId="3" borderId="30" xfId="0" applyFont="1" applyFill="1" applyBorder="1" applyAlignment="1">
      <alignment horizontal="left" vertical="center" wrapText="1" indent="1" readingOrder="1"/>
    </xf>
    <xf numFmtId="0" fontId="4" fillId="3" borderId="18" xfId="0" applyFont="1" applyFill="1" applyBorder="1" applyAlignment="1">
      <alignment horizontal="left" vertical="center" wrapText="1" indent="1" readingOrder="1"/>
    </xf>
    <xf numFmtId="0" fontId="4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44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2" borderId="50" xfId="0" applyFont="1" applyFill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4" fillId="3" borderId="41" xfId="0" applyFont="1" applyFill="1" applyBorder="1" applyAlignment="1">
      <alignment horizontal="left" vertical="center" wrapText="1" indent="1" readingOrder="1"/>
    </xf>
    <xf numFmtId="0" fontId="3" fillId="0" borderId="37" xfId="0" applyFont="1" applyBorder="1" applyAlignment="1">
      <alignment horizontal="center" vertical="center" wrapText="1" readingOrder="1"/>
    </xf>
    <xf numFmtId="0" fontId="3" fillId="0" borderId="38" xfId="0" applyFont="1" applyBorder="1" applyAlignment="1">
      <alignment horizontal="center" vertical="center" wrapText="1" readingOrder="1"/>
    </xf>
    <xf numFmtId="0" fontId="5" fillId="0" borderId="39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center" vertical="center" wrapTex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30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/>
    </xf>
    <xf numFmtId="0" fontId="0" fillId="2" borderId="74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2" borderId="65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F56" zoomScaleNormal="100" workbookViewId="0">
      <selection activeCell="M57" sqref="M57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7" width="13.85546875" style="15" customWidth="1"/>
    <col min="8" max="8" width="15.140625" style="15" customWidth="1"/>
    <col min="9" max="9" width="17.28515625" style="15" customWidth="1"/>
    <col min="10" max="10" width="13.85546875" style="15" customWidth="1"/>
    <col min="11" max="11" width="13.5703125" style="15" bestFit="1" customWidth="1"/>
    <col min="12" max="12" width="14.42578125" style="15" customWidth="1"/>
    <col min="13" max="13" width="16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24" t="s">
        <v>80</v>
      </c>
      <c r="C2" s="233" t="s">
        <v>2</v>
      </c>
      <c r="D2" s="234"/>
      <c r="E2" s="235" t="s">
        <v>3</v>
      </c>
      <c r="F2" s="235"/>
      <c r="G2" s="236" t="s">
        <v>4</v>
      </c>
      <c r="H2" s="235"/>
      <c r="I2" s="235" t="s">
        <v>5</v>
      </c>
      <c r="J2" s="235"/>
      <c r="K2" s="237" t="s">
        <v>6</v>
      </c>
      <c r="L2" s="235"/>
      <c r="M2" s="235"/>
      <c r="N2" s="235"/>
      <c r="O2" s="235"/>
      <c r="P2" s="238"/>
      <c r="R2" s="243" t="s">
        <v>65</v>
      </c>
      <c r="S2" s="180" t="s">
        <v>66</v>
      </c>
      <c r="T2" s="247" t="s">
        <v>2</v>
      </c>
      <c r="U2" s="248"/>
      <c r="V2" s="248"/>
      <c r="W2" s="248"/>
      <c r="X2" s="248"/>
      <c r="Y2" s="248"/>
      <c r="Z2" s="248"/>
      <c r="AA2" s="248"/>
      <c r="AB2" s="248" t="s">
        <v>3</v>
      </c>
      <c r="AC2" s="248"/>
      <c r="AD2" s="248"/>
      <c r="AE2" s="248"/>
      <c r="AF2" s="248"/>
      <c r="AG2" s="248"/>
      <c r="AH2" s="248"/>
      <c r="AI2" s="249"/>
    </row>
    <row r="3" spans="2:35" ht="15.75" thickBot="1">
      <c r="B3" s="225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30"/>
      <c r="L3" s="231"/>
      <c r="M3" s="231"/>
      <c r="N3" s="231"/>
      <c r="O3" s="231"/>
      <c r="P3" s="232"/>
      <c r="R3" s="244"/>
      <c r="S3" s="241"/>
      <c r="T3" s="18">
        <v>15</v>
      </c>
      <c r="U3" s="211" t="s">
        <v>83</v>
      </c>
      <c r="V3" s="211"/>
      <c r="W3" s="19">
        <v>12</v>
      </c>
      <c r="X3" s="19">
        <v>11</v>
      </c>
      <c r="Y3" s="19">
        <v>10</v>
      </c>
      <c r="Z3" s="19">
        <v>9</v>
      </c>
      <c r="AA3" s="246" t="s">
        <v>74</v>
      </c>
      <c r="AB3" s="246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26"/>
      <c r="C4" s="21" t="s">
        <v>1</v>
      </c>
      <c r="D4" s="22" t="s">
        <v>0</v>
      </c>
      <c r="E4" s="212" t="s">
        <v>38</v>
      </c>
      <c r="F4" s="239"/>
      <c r="G4" s="239"/>
      <c r="H4" s="239"/>
      <c r="I4" s="239"/>
      <c r="J4" s="240"/>
      <c r="K4" s="5" t="s">
        <v>7</v>
      </c>
      <c r="L4" s="22" t="s">
        <v>12</v>
      </c>
      <c r="M4" s="22" t="s">
        <v>8</v>
      </c>
      <c r="N4" s="212" t="s">
        <v>9</v>
      </c>
      <c r="O4" s="239"/>
      <c r="P4" s="240"/>
      <c r="R4" s="245"/>
      <c r="S4" s="242"/>
      <c r="T4" s="6" t="s">
        <v>144</v>
      </c>
      <c r="U4" s="212" t="s">
        <v>75</v>
      </c>
      <c r="V4" s="213"/>
      <c r="W4" s="7" t="s">
        <v>71</v>
      </c>
      <c r="X4" s="7" t="s">
        <v>70</v>
      </c>
      <c r="Y4" s="7" t="s">
        <v>11</v>
      </c>
      <c r="Z4" s="7" t="s">
        <v>25</v>
      </c>
      <c r="AA4" s="212" t="s">
        <v>72</v>
      </c>
      <c r="AB4" s="213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16"/>
      <c r="F5" s="217"/>
      <c r="G5" s="217"/>
      <c r="H5" s="217"/>
      <c r="I5" s="217"/>
      <c r="J5" s="218"/>
      <c r="K5" s="25" t="s">
        <v>10</v>
      </c>
      <c r="L5" s="23"/>
      <c r="M5" s="29"/>
      <c r="N5" s="181" t="s">
        <v>51</v>
      </c>
      <c r="O5" s="182"/>
      <c r="P5" s="183"/>
      <c r="R5" s="1">
        <v>0</v>
      </c>
      <c r="S5" s="26" t="s">
        <v>10</v>
      </c>
      <c r="T5" s="27">
        <v>0</v>
      </c>
      <c r="U5" s="214" t="s">
        <v>73</v>
      </c>
      <c r="V5" s="215"/>
      <c r="W5" s="28">
        <v>0</v>
      </c>
      <c r="X5" s="28">
        <v>0</v>
      </c>
      <c r="Y5" s="28">
        <v>0</v>
      </c>
      <c r="Z5" s="28">
        <v>0</v>
      </c>
      <c r="AA5" s="214" t="s">
        <v>73</v>
      </c>
      <c r="AB5" s="215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23"/>
      <c r="F6" s="220"/>
      <c r="G6" s="220"/>
      <c r="H6" s="220"/>
      <c r="I6" s="220"/>
      <c r="J6" s="221"/>
      <c r="K6" s="31" t="s">
        <v>11</v>
      </c>
      <c r="L6" s="61" t="s">
        <v>154</v>
      </c>
      <c r="M6" s="35"/>
      <c r="N6" s="184" t="s">
        <v>95</v>
      </c>
      <c r="O6" s="185"/>
      <c r="P6" s="186"/>
      <c r="R6" s="2">
        <v>1</v>
      </c>
      <c r="S6" s="32" t="s">
        <v>11</v>
      </c>
      <c r="T6" s="33">
        <v>0</v>
      </c>
      <c r="U6" s="209" t="s">
        <v>73</v>
      </c>
      <c r="V6" s="210"/>
      <c r="W6" s="34">
        <v>0</v>
      </c>
      <c r="X6" s="34">
        <v>0</v>
      </c>
      <c r="Y6" s="34">
        <v>1</v>
      </c>
      <c r="Z6" s="34">
        <v>0</v>
      </c>
      <c r="AA6" s="209" t="s">
        <v>73</v>
      </c>
      <c r="AB6" s="210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7" t="s">
        <v>330</v>
      </c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19"/>
      <c r="I7" s="220"/>
      <c r="J7" s="221"/>
      <c r="K7" s="25" t="s">
        <v>13</v>
      </c>
      <c r="L7" s="38"/>
      <c r="M7" s="55" t="s">
        <v>154</v>
      </c>
      <c r="N7" s="184" t="s">
        <v>52</v>
      </c>
      <c r="O7" s="185"/>
      <c r="P7" s="186"/>
      <c r="R7" s="2">
        <v>2</v>
      </c>
      <c r="S7" s="23" t="s">
        <v>13</v>
      </c>
      <c r="T7" s="33">
        <v>0</v>
      </c>
      <c r="U7" s="209" t="s">
        <v>73</v>
      </c>
      <c r="V7" s="210"/>
      <c r="W7" s="34">
        <v>0</v>
      </c>
      <c r="X7" s="34">
        <v>1</v>
      </c>
      <c r="Y7" s="34">
        <v>0</v>
      </c>
      <c r="Z7" s="34">
        <v>0</v>
      </c>
      <c r="AA7" s="209" t="s">
        <v>73</v>
      </c>
      <c r="AB7" s="210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7" t="s">
        <v>330</v>
      </c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19"/>
      <c r="I8" s="220"/>
      <c r="J8" s="221"/>
      <c r="K8" s="37" t="s">
        <v>14</v>
      </c>
      <c r="L8" s="38"/>
      <c r="M8" s="55" t="s">
        <v>154</v>
      </c>
      <c r="N8" s="184" t="s">
        <v>53</v>
      </c>
      <c r="O8" s="185"/>
      <c r="P8" s="186"/>
      <c r="R8" s="2">
        <v>3</v>
      </c>
      <c r="S8" s="38" t="s">
        <v>14</v>
      </c>
      <c r="T8" s="33">
        <v>0</v>
      </c>
      <c r="U8" s="209" t="s">
        <v>73</v>
      </c>
      <c r="V8" s="210"/>
      <c r="W8" s="34">
        <v>0</v>
      </c>
      <c r="X8" s="34">
        <v>1</v>
      </c>
      <c r="Y8" s="34">
        <v>0</v>
      </c>
      <c r="Z8" s="34">
        <v>0</v>
      </c>
      <c r="AA8" s="209" t="s">
        <v>73</v>
      </c>
      <c r="AB8" s="210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7" t="s">
        <v>330</v>
      </c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19"/>
      <c r="I9" s="220"/>
      <c r="J9" s="221"/>
      <c r="K9" s="37" t="s">
        <v>47</v>
      </c>
      <c r="L9" s="38"/>
      <c r="M9" s="55" t="s">
        <v>154</v>
      </c>
      <c r="N9" s="184" t="s">
        <v>54</v>
      </c>
      <c r="O9" s="185"/>
      <c r="P9" s="186"/>
      <c r="R9" s="1">
        <v>4</v>
      </c>
      <c r="S9" s="38" t="s">
        <v>47</v>
      </c>
      <c r="T9" s="33">
        <v>0</v>
      </c>
      <c r="U9" s="209" t="s">
        <v>73</v>
      </c>
      <c r="V9" s="210"/>
      <c r="W9" s="34">
        <v>0</v>
      </c>
      <c r="X9" s="34">
        <v>1</v>
      </c>
      <c r="Y9" s="34">
        <v>0</v>
      </c>
      <c r="Z9" s="34">
        <v>0</v>
      </c>
      <c r="AA9" s="209" t="s">
        <v>73</v>
      </c>
      <c r="AB9" s="210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7" t="s">
        <v>330</v>
      </c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19"/>
      <c r="I10" s="220"/>
      <c r="J10" s="221"/>
      <c r="K10" s="37" t="s">
        <v>48</v>
      </c>
      <c r="L10" s="38"/>
      <c r="M10" s="55" t="s">
        <v>154</v>
      </c>
      <c r="N10" s="184" t="s">
        <v>55</v>
      </c>
      <c r="O10" s="185"/>
      <c r="P10" s="186"/>
      <c r="R10" s="2">
        <v>5</v>
      </c>
      <c r="S10" s="38" t="s">
        <v>48</v>
      </c>
      <c r="T10" s="33">
        <v>0</v>
      </c>
      <c r="U10" s="209" t="s">
        <v>73</v>
      </c>
      <c r="V10" s="210"/>
      <c r="W10" s="34">
        <v>0</v>
      </c>
      <c r="X10" s="34">
        <v>1</v>
      </c>
      <c r="Y10" s="34">
        <v>0</v>
      </c>
      <c r="Z10" s="34">
        <v>0</v>
      </c>
      <c r="AA10" s="209" t="s">
        <v>73</v>
      </c>
      <c r="AB10" s="210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7" t="s">
        <v>330</v>
      </c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19"/>
      <c r="I11" s="220"/>
      <c r="J11" s="221"/>
      <c r="K11" s="37" t="s">
        <v>15</v>
      </c>
      <c r="L11" s="38"/>
      <c r="M11" s="55" t="s">
        <v>154</v>
      </c>
      <c r="N11" s="184" t="s">
        <v>56</v>
      </c>
      <c r="O11" s="185"/>
      <c r="P11" s="186"/>
      <c r="R11" s="2">
        <v>6</v>
      </c>
      <c r="S11" s="38" t="s">
        <v>15</v>
      </c>
      <c r="T11" s="33">
        <v>0</v>
      </c>
      <c r="U11" s="209" t="s">
        <v>73</v>
      </c>
      <c r="V11" s="210"/>
      <c r="W11" s="34">
        <v>0</v>
      </c>
      <c r="X11" s="34">
        <v>1</v>
      </c>
      <c r="Y11" s="34">
        <v>0</v>
      </c>
      <c r="Z11" s="34">
        <v>0</v>
      </c>
      <c r="AA11" s="209" t="s">
        <v>73</v>
      </c>
      <c r="AB11" s="210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7" t="s">
        <v>330</v>
      </c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19"/>
      <c r="I12" s="220"/>
      <c r="J12" s="221"/>
      <c r="K12" s="37" t="s">
        <v>16</v>
      </c>
      <c r="L12" s="38"/>
      <c r="M12" s="55" t="s">
        <v>154</v>
      </c>
      <c r="N12" s="184" t="s">
        <v>57</v>
      </c>
      <c r="O12" s="185"/>
      <c r="P12" s="186"/>
      <c r="R12" s="2">
        <v>7</v>
      </c>
      <c r="S12" s="38" t="s">
        <v>16</v>
      </c>
      <c r="T12" s="33">
        <v>0</v>
      </c>
      <c r="U12" s="209" t="s">
        <v>73</v>
      </c>
      <c r="V12" s="210"/>
      <c r="W12" s="34">
        <v>0</v>
      </c>
      <c r="X12" s="34">
        <v>1</v>
      </c>
      <c r="Y12" s="34">
        <v>0</v>
      </c>
      <c r="Z12" s="34">
        <v>0</v>
      </c>
      <c r="AA12" s="209" t="s">
        <v>73</v>
      </c>
      <c r="AB12" s="210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7" t="s">
        <v>330</v>
      </c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19"/>
      <c r="I13" s="220"/>
      <c r="J13" s="221"/>
      <c r="K13" s="37" t="s">
        <v>17</v>
      </c>
      <c r="L13" s="38"/>
      <c r="M13" s="55" t="s">
        <v>154</v>
      </c>
      <c r="N13" s="184" t="s">
        <v>58</v>
      </c>
      <c r="O13" s="185"/>
      <c r="P13" s="186"/>
      <c r="R13" s="1">
        <v>8</v>
      </c>
      <c r="S13" s="38" t="s">
        <v>17</v>
      </c>
      <c r="T13" s="33">
        <v>0</v>
      </c>
      <c r="U13" s="209" t="s">
        <v>73</v>
      </c>
      <c r="V13" s="210"/>
      <c r="W13" s="34">
        <v>0</v>
      </c>
      <c r="X13" s="34">
        <v>1</v>
      </c>
      <c r="Y13" s="34">
        <v>0</v>
      </c>
      <c r="Z13" s="34">
        <v>0</v>
      </c>
      <c r="AA13" s="209" t="s">
        <v>73</v>
      </c>
      <c r="AB13" s="210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7" t="s">
        <v>330</v>
      </c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19"/>
      <c r="I14" s="220"/>
      <c r="J14" s="221"/>
      <c r="K14" s="37" t="s">
        <v>18</v>
      </c>
      <c r="L14" s="38"/>
      <c r="M14" s="55" t="s">
        <v>154</v>
      </c>
      <c r="N14" s="184" t="s">
        <v>59</v>
      </c>
      <c r="O14" s="185"/>
      <c r="P14" s="186"/>
      <c r="R14" s="2">
        <v>9</v>
      </c>
      <c r="S14" s="38" t="s">
        <v>18</v>
      </c>
      <c r="T14" s="33">
        <v>0</v>
      </c>
      <c r="U14" s="209" t="s">
        <v>73</v>
      </c>
      <c r="V14" s="210"/>
      <c r="W14" s="34">
        <v>0</v>
      </c>
      <c r="X14" s="34">
        <v>1</v>
      </c>
      <c r="Y14" s="34">
        <v>0</v>
      </c>
      <c r="Z14" s="34">
        <v>0</v>
      </c>
      <c r="AA14" s="209" t="s">
        <v>73</v>
      </c>
      <c r="AB14" s="210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7" t="s">
        <v>330</v>
      </c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19"/>
      <c r="I15" s="220"/>
      <c r="J15" s="221"/>
      <c r="K15" s="31" t="s">
        <v>19</v>
      </c>
      <c r="L15" s="38"/>
      <c r="M15" s="55" t="s">
        <v>154</v>
      </c>
      <c r="N15" s="184" t="s">
        <v>60</v>
      </c>
      <c r="O15" s="185"/>
      <c r="P15" s="186"/>
      <c r="R15" s="2">
        <v>10</v>
      </c>
      <c r="S15" s="39" t="s">
        <v>19</v>
      </c>
      <c r="T15" s="33">
        <v>0</v>
      </c>
      <c r="U15" s="209" t="s">
        <v>73</v>
      </c>
      <c r="V15" s="210"/>
      <c r="W15" s="34">
        <v>0</v>
      </c>
      <c r="X15" s="34">
        <v>1</v>
      </c>
      <c r="Y15" s="34">
        <v>0</v>
      </c>
      <c r="Z15" s="34">
        <v>0</v>
      </c>
      <c r="AA15" s="209" t="s">
        <v>73</v>
      </c>
      <c r="AB15" s="210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7" t="s">
        <v>330</v>
      </c>
      <c r="D16" s="23" t="str">
        <f t="shared" si="0"/>
        <v>01011</v>
      </c>
      <c r="E16" s="33" t="s">
        <v>28</v>
      </c>
      <c r="F16" s="219"/>
      <c r="G16" s="220"/>
      <c r="H16" s="220"/>
      <c r="I16" s="220"/>
      <c r="J16" s="221"/>
      <c r="K16" s="40" t="s">
        <v>49</v>
      </c>
      <c r="L16" s="43"/>
      <c r="M16" s="35"/>
      <c r="N16" s="184" t="s">
        <v>50</v>
      </c>
      <c r="O16" s="185"/>
      <c r="P16" s="186"/>
      <c r="R16" s="2">
        <v>11</v>
      </c>
      <c r="S16" s="41" t="s">
        <v>49</v>
      </c>
      <c r="T16" s="33">
        <v>0</v>
      </c>
      <c r="U16" s="209" t="s">
        <v>73</v>
      </c>
      <c r="V16" s="210"/>
      <c r="W16" s="34">
        <v>0</v>
      </c>
      <c r="X16" s="34">
        <v>1</v>
      </c>
      <c r="Y16" s="34">
        <v>0</v>
      </c>
      <c r="Z16" s="34">
        <v>0</v>
      </c>
      <c r="AA16" s="209" t="s">
        <v>73</v>
      </c>
      <c r="AB16" s="210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7" t="s">
        <v>331</v>
      </c>
      <c r="D17" s="23" t="str">
        <f t="shared" si="0"/>
        <v>01100</v>
      </c>
      <c r="E17" s="33" t="s">
        <v>28</v>
      </c>
      <c r="F17" s="42"/>
      <c r="G17" s="222" t="s">
        <v>76</v>
      </c>
      <c r="H17" s="185"/>
      <c r="I17" s="185"/>
      <c r="J17" s="186"/>
      <c r="K17" s="25" t="s">
        <v>20</v>
      </c>
      <c r="L17" s="43"/>
      <c r="M17" s="35"/>
      <c r="N17" s="184" t="s">
        <v>64</v>
      </c>
      <c r="O17" s="185"/>
      <c r="P17" s="186"/>
      <c r="R17" s="2">
        <v>12</v>
      </c>
      <c r="S17" s="23" t="s">
        <v>20</v>
      </c>
      <c r="T17" s="33">
        <v>0</v>
      </c>
      <c r="U17" s="209" t="s">
        <v>73</v>
      </c>
      <c r="V17" s="210"/>
      <c r="W17" s="34">
        <v>0</v>
      </c>
      <c r="X17" s="34">
        <v>1</v>
      </c>
      <c r="Y17" s="34">
        <v>0</v>
      </c>
      <c r="Z17" s="34">
        <v>0</v>
      </c>
      <c r="AA17" s="209" t="s">
        <v>73</v>
      </c>
      <c r="AB17" s="210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7" t="s">
        <v>330</v>
      </c>
      <c r="D18" s="23" t="str">
        <f t="shared" si="0"/>
        <v>01101</v>
      </c>
      <c r="E18" s="33" t="s">
        <v>28</v>
      </c>
      <c r="F18" s="42"/>
      <c r="G18" s="222" t="s">
        <v>76</v>
      </c>
      <c r="H18" s="185"/>
      <c r="I18" s="185"/>
      <c r="J18" s="186"/>
      <c r="K18" s="40" t="s">
        <v>21</v>
      </c>
      <c r="L18" s="43"/>
      <c r="M18" s="55" t="s">
        <v>154</v>
      </c>
      <c r="N18" s="184" t="s">
        <v>61</v>
      </c>
      <c r="O18" s="185"/>
      <c r="P18" s="186"/>
      <c r="R18" s="2">
        <v>13</v>
      </c>
      <c r="S18" s="41" t="s">
        <v>21</v>
      </c>
      <c r="T18" s="33">
        <v>0</v>
      </c>
      <c r="U18" s="209" t="s">
        <v>73</v>
      </c>
      <c r="V18" s="210"/>
      <c r="W18" s="34">
        <v>0</v>
      </c>
      <c r="X18" s="34">
        <v>1</v>
      </c>
      <c r="Y18" s="34">
        <v>0</v>
      </c>
      <c r="Z18" s="34">
        <v>0</v>
      </c>
      <c r="AA18" s="209" t="s">
        <v>73</v>
      </c>
      <c r="AB18" s="210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29</v>
      </c>
      <c r="G19" s="219"/>
      <c r="H19" s="220"/>
      <c r="I19" s="220"/>
      <c r="J19" s="221"/>
      <c r="K19" s="25" t="s">
        <v>22</v>
      </c>
      <c r="L19" s="43"/>
      <c r="M19" s="35"/>
      <c r="N19" s="184" t="s">
        <v>93</v>
      </c>
      <c r="O19" s="185"/>
      <c r="P19" s="186"/>
      <c r="R19" s="2">
        <v>14</v>
      </c>
      <c r="S19" s="23" t="s">
        <v>22</v>
      </c>
      <c r="T19" s="33">
        <v>0</v>
      </c>
      <c r="U19" s="209" t="s">
        <v>73</v>
      </c>
      <c r="V19" s="210"/>
      <c r="W19" s="34">
        <v>0</v>
      </c>
      <c r="X19" s="34">
        <v>0</v>
      </c>
      <c r="Y19" s="34">
        <v>0</v>
      </c>
      <c r="Z19" s="34">
        <v>0</v>
      </c>
      <c r="AA19" s="209" t="s">
        <v>73</v>
      </c>
      <c r="AB19" s="210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31</v>
      </c>
      <c r="F20" s="34" t="s">
        <v>29</v>
      </c>
      <c r="G20" s="219"/>
      <c r="H20" s="220"/>
      <c r="I20" s="220"/>
      <c r="J20" s="221"/>
      <c r="K20" s="37" t="s">
        <v>23</v>
      </c>
      <c r="L20" s="43"/>
      <c r="M20" s="35"/>
      <c r="N20" s="184" t="s">
        <v>94</v>
      </c>
      <c r="O20" s="185"/>
      <c r="P20" s="186"/>
      <c r="R20" s="2">
        <v>15</v>
      </c>
      <c r="S20" s="38" t="s">
        <v>23</v>
      </c>
      <c r="T20" s="33">
        <v>0</v>
      </c>
      <c r="U20" s="209" t="s">
        <v>73</v>
      </c>
      <c r="V20" s="210"/>
      <c r="W20" s="34">
        <v>0</v>
      </c>
      <c r="X20" s="34">
        <v>0</v>
      </c>
      <c r="Y20" s="34">
        <v>0</v>
      </c>
      <c r="Z20" s="34">
        <v>0</v>
      </c>
      <c r="AA20" s="209" t="s">
        <v>73</v>
      </c>
      <c r="AB20" s="210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332</v>
      </c>
      <c r="D21" s="23" t="str">
        <f t="shared" si="0"/>
        <v>10000</v>
      </c>
      <c r="E21" s="60"/>
      <c r="F21" s="34" t="s">
        <v>29</v>
      </c>
      <c r="G21" s="219"/>
      <c r="H21" s="220"/>
      <c r="I21" s="220"/>
      <c r="J21" s="221"/>
      <c r="K21" s="44" t="s">
        <v>24</v>
      </c>
      <c r="L21" s="38"/>
      <c r="M21" s="35"/>
      <c r="N21" s="184" t="s">
        <v>62</v>
      </c>
      <c r="O21" s="185"/>
      <c r="P21" s="186"/>
      <c r="R21" s="2">
        <v>16</v>
      </c>
      <c r="S21" s="45" t="s">
        <v>24</v>
      </c>
      <c r="T21" s="33">
        <v>0</v>
      </c>
      <c r="U21" s="209" t="s">
        <v>96</v>
      </c>
      <c r="V21" s="210"/>
      <c r="W21" s="34">
        <v>1</v>
      </c>
      <c r="X21" s="34">
        <v>0</v>
      </c>
      <c r="Y21" s="34">
        <v>0</v>
      </c>
      <c r="Z21" s="34">
        <v>0</v>
      </c>
      <c r="AA21" s="209" t="s">
        <v>98</v>
      </c>
      <c r="AB21" s="210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332</v>
      </c>
      <c r="D22" s="23" t="str">
        <f t="shared" si="0"/>
        <v>10001</v>
      </c>
      <c r="E22" s="223"/>
      <c r="F22" s="220"/>
      <c r="G22" s="220"/>
      <c r="H22" s="220"/>
      <c r="I22" s="220"/>
      <c r="J22" s="221"/>
      <c r="K22" s="40" t="s">
        <v>25</v>
      </c>
      <c r="L22" s="38"/>
      <c r="M22" s="35"/>
      <c r="N22" s="184" t="s">
        <v>63</v>
      </c>
      <c r="O22" s="185"/>
      <c r="P22" s="186"/>
      <c r="R22" s="2">
        <v>17</v>
      </c>
      <c r="S22" s="41" t="s">
        <v>25</v>
      </c>
      <c r="T22" s="33">
        <v>0</v>
      </c>
      <c r="U22" s="209" t="s">
        <v>73</v>
      </c>
      <c r="V22" s="210"/>
      <c r="W22" s="34">
        <v>1</v>
      </c>
      <c r="X22" s="34">
        <v>0</v>
      </c>
      <c r="Y22" s="34">
        <v>0</v>
      </c>
      <c r="Z22" s="34">
        <v>1</v>
      </c>
      <c r="AA22" s="209" t="s">
        <v>96</v>
      </c>
      <c r="AB22" s="210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329</v>
      </c>
      <c r="D23" s="23" t="str">
        <f t="shared" si="0"/>
        <v>10010</v>
      </c>
      <c r="E23" s="33" t="s">
        <v>28</v>
      </c>
      <c r="F23" s="34" t="s">
        <v>29</v>
      </c>
      <c r="G23" s="222" t="s">
        <v>77</v>
      </c>
      <c r="H23" s="185"/>
      <c r="I23" s="185"/>
      <c r="J23" s="186"/>
      <c r="K23" s="44" t="s">
        <v>26</v>
      </c>
      <c r="L23" s="38"/>
      <c r="M23" s="35"/>
      <c r="N23" s="184" t="s">
        <v>82</v>
      </c>
      <c r="O23" s="185"/>
      <c r="P23" s="186"/>
      <c r="R23" s="2">
        <v>18</v>
      </c>
      <c r="S23" s="26" t="s">
        <v>26</v>
      </c>
      <c r="T23" s="33">
        <v>0</v>
      </c>
      <c r="U23" s="209" t="s">
        <v>97</v>
      </c>
      <c r="V23" s="210"/>
      <c r="W23" s="34">
        <v>0</v>
      </c>
      <c r="X23" s="34">
        <v>1</v>
      </c>
      <c r="Y23" s="34">
        <v>0</v>
      </c>
      <c r="Z23" s="34">
        <v>0</v>
      </c>
      <c r="AA23" s="209" t="s">
        <v>96</v>
      </c>
      <c r="AB23" s="210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329</v>
      </c>
      <c r="D24" s="23" t="str">
        <f t="shared" si="0"/>
        <v>10011</v>
      </c>
      <c r="E24" s="46" t="s">
        <v>28</v>
      </c>
      <c r="F24" s="47" t="s">
        <v>29</v>
      </c>
      <c r="G24" s="222" t="s">
        <v>77</v>
      </c>
      <c r="H24" s="185"/>
      <c r="I24" s="185"/>
      <c r="J24" s="186"/>
      <c r="K24" s="31" t="s">
        <v>27</v>
      </c>
      <c r="L24" s="39"/>
      <c r="M24" s="56"/>
      <c r="N24" s="184" t="s">
        <v>81</v>
      </c>
      <c r="O24" s="185"/>
      <c r="P24" s="186"/>
      <c r="R24" s="2">
        <v>19</v>
      </c>
      <c r="S24" s="32" t="s">
        <v>27</v>
      </c>
      <c r="T24" s="33">
        <v>0</v>
      </c>
      <c r="U24" s="209" t="s">
        <v>73</v>
      </c>
      <c r="V24" s="210"/>
      <c r="W24" s="34">
        <v>0</v>
      </c>
      <c r="X24" s="34">
        <v>0</v>
      </c>
      <c r="Y24" s="34">
        <v>0</v>
      </c>
      <c r="Z24" s="34">
        <v>0</v>
      </c>
      <c r="AA24" s="209" t="s">
        <v>98</v>
      </c>
      <c r="AB24" s="210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19"/>
      <c r="H25" s="220"/>
      <c r="I25" s="220"/>
      <c r="J25" s="221"/>
      <c r="K25" s="49" t="s">
        <v>39</v>
      </c>
      <c r="L25" s="57" t="s">
        <v>154</v>
      </c>
      <c r="M25" s="56"/>
      <c r="N25" s="184" t="s">
        <v>41</v>
      </c>
      <c r="O25" s="185"/>
      <c r="P25" s="186"/>
      <c r="R25" s="2">
        <v>20</v>
      </c>
      <c r="S25" s="50" t="s">
        <v>39</v>
      </c>
      <c r="T25" s="33">
        <v>1</v>
      </c>
      <c r="U25" s="209" t="s">
        <v>73</v>
      </c>
      <c r="V25" s="210"/>
      <c r="W25" s="34">
        <v>0</v>
      </c>
      <c r="X25" s="34">
        <v>1</v>
      </c>
      <c r="Y25" s="34">
        <v>0</v>
      </c>
      <c r="Z25" s="34">
        <v>0</v>
      </c>
      <c r="AA25" s="209" t="s">
        <v>73</v>
      </c>
      <c r="AB25" s="210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19"/>
      <c r="H26" s="220"/>
      <c r="I26" s="220"/>
      <c r="J26" s="221"/>
      <c r="K26" s="31" t="s">
        <v>40</v>
      </c>
      <c r="L26" s="57" t="s">
        <v>154</v>
      </c>
      <c r="M26" s="56"/>
      <c r="N26" s="184" t="s">
        <v>42</v>
      </c>
      <c r="O26" s="185"/>
      <c r="P26" s="186"/>
      <c r="R26" s="2">
        <v>21</v>
      </c>
      <c r="S26" s="39" t="s">
        <v>40</v>
      </c>
      <c r="T26" s="33">
        <v>0</v>
      </c>
      <c r="U26" s="209" t="s">
        <v>73</v>
      </c>
      <c r="V26" s="210"/>
      <c r="W26" s="34">
        <v>1</v>
      </c>
      <c r="X26" s="34">
        <v>0</v>
      </c>
      <c r="Y26" s="34">
        <v>0</v>
      </c>
      <c r="Z26" s="34">
        <v>0</v>
      </c>
      <c r="AA26" s="209" t="s">
        <v>73</v>
      </c>
      <c r="AB26" s="210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23"/>
      <c r="F27" s="220"/>
      <c r="G27" s="220"/>
      <c r="H27" s="220"/>
      <c r="I27" s="220"/>
      <c r="J27" s="221"/>
      <c r="K27" s="25" t="s">
        <v>44</v>
      </c>
      <c r="L27" s="39"/>
      <c r="M27" s="56"/>
      <c r="N27" s="184" t="s">
        <v>46</v>
      </c>
      <c r="O27" s="185"/>
      <c r="P27" s="186"/>
      <c r="R27" s="3">
        <v>22</v>
      </c>
      <c r="S27" s="23" t="s">
        <v>44</v>
      </c>
      <c r="T27" s="33">
        <v>0</v>
      </c>
      <c r="U27" s="209" t="s">
        <v>73</v>
      </c>
      <c r="V27" s="210"/>
      <c r="W27" s="34">
        <v>0</v>
      </c>
      <c r="X27" s="34">
        <v>0</v>
      </c>
      <c r="Y27" s="34">
        <v>0</v>
      </c>
      <c r="Z27" s="34">
        <v>0</v>
      </c>
      <c r="AA27" s="209" t="s">
        <v>73</v>
      </c>
      <c r="AB27" s="210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27"/>
      <c r="F28" s="228"/>
      <c r="G28" s="228"/>
      <c r="H28" s="228"/>
      <c r="I28" s="228"/>
      <c r="J28" s="229"/>
      <c r="K28" s="52" t="s">
        <v>45</v>
      </c>
      <c r="L28" s="58" t="s">
        <v>154</v>
      </c>
      <c r="M28" s="14"/>
      <c r="N28" s="197" t="s">
        <v>92</v>
      </c>
      <c r="O28" s="198"/>
      <c r="P28" s="199"/>
      <c r="R28" s="4">
        <v>23</v>
      </c>
      <c r="S28" s="53" t="s">
        <v>45</v>
      </c>
      <c r="T28" s="12">
        <v>0</v>
      </c>
      <c r="U28" s="259" t="s">
        <v>73</v>
      </c>
      <c r="V28" s="260"/>
      <c r="W28" s="54">
        <v>0</v>
      </c>
      <c r="X28" s="54">
        <v>0</v>
      </c>
      <c r="Y28" s="54">
        <v>0</v>
      </c>
      <c r="Z28" s="54">
        <v>0</v>
      </c>
      <c r="AA28" s="259" t="s">
        <v>73</v>
      </c>
      <c r="AB28" s="260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174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154</v>
      </c>
      <c r="S30" s="75" t="s">
        <v>155</v>
      </c>
      <c r="T30" s="179" t="s">
        <v>156</v>
      </c>
      <c r="U30" s="179"/>
      <c r="V30" s="179"/>
      <c r="W30" s="179"/>
      <c r="X30" s="179"/>
      <c r="Y30" s="179"/>
      <c r="Z30" s="179"/>
      <c r="AA30" s="179"/>
      <c r="AB30" s="179"/>
      <c r="AC30" s="180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/>
      <c r="O31" s="79" t="s">
        <v>177</v>
      </c>
      <c r="P31" s="80" t="s">
        <v>176</v>
      </c>
      <c r="R31" s="67">
        <v>0</v>
      </c>
      <c r="S31" s="25" t="s">
        <v>157</v>
      </c>
      <c r="T31" s="181" t="s">
        <v>161</v>
      </c>
      <c r="U31" s="182"/>
      <c r="V31" s="182"/>
      <c r="W31" s="182"/>
      <c r="X31" s="182"/>
      <c r="Y31" s="182"/>
      <c r="Z31" s="182"/>
      <c r="AA31" s="182"/>
      <c r="AB31" s="182"/>
      <c r="AC31" s="183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R32" s="2">
        <v>1</v>
      </c>
      <c r="S32" s="37" t="s">
        <v>68</v>
      </c>
      <c r="T32" s="184" t="s">
        <v>162</v>
      </c>
      <c r="U32" s="185"/>
      <c r="V32" s="185"/>
      <c r="W32" s="185"/>
      <c r="X32" s="185"/>
      <c r="Y32" s="185"/>
      <c r="Z32" s="185"/>
      <c r="AA32" s="185"/>
      <c r="AB32" s="185"/>
      <c r="AC32" s="186"/>
    </row>
    <row r="33" spans="2:29" ht="33.75" customHeight="1" thickBot="1">
      <c r="H33" s="84" t="s">
        <v>195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158</v>
      </c>
      <c r="T33" s="184" t="s">
        <v>163</v>
      </c>
      <c r="U33" s="185"/>
      <c r="V33" s="185"/>
      <c r="W33" s="185"/>
      <c r="X33" s="185"/>
      <c r="Y33" s="185"/>
      <c r="Z33" s="185"/>
      <c r="AA33" s="185"/>
      <c r="AB33" s="185"/>
      <c r="AC33" s="186"/>
    </row>
    <row r="34" spans="2:29" ht="23.25" customHeight="1" thickBot="1">
      <c r="B34" s="256" t="s">
        <v>108</v>
      </c>
      <c r="C34" s="230" t="s">
        <v>114</v>
      </c>
      <c r="D34" s="232"/>
      <c r="E34" s="230" t="s">
        <v>115</v>
      </c>
      <c r="F34" s="232"/>
      <c r="H34" s="77" t="s">
        <v>65</v>
      </c>
      <c r="I34" s="78"/>
      <c r="J34" s="79"/>
      <c r="K34" s="79"/>
      <c r="L34" s="79" t="s">
        <v>350</v>
      </c>
      <c r="M34" s="79" t="s">
        <v>199</v>
      </c>
      <c r="N34" s="79" t="s">
        <v>198</v>
      </c>
      <c r="O34" s="79" t="s">
        <v>197</v>
      </c>
      <c r="P34" s="80" t="s">
        <v>196</v>
      </c>
      <c r="R34" s="2">
        <v>3</v>
      </c>
      <c r="S34" s="37" t="s">
        <v>24</v>
      </c>
      <c r="T34" s="184" t="s">
        <v>164</v>
      </c>
      <c r="U34" s="185"/>
      <c r="V34" s="185"/>
      <c r="W34" s="185"/>
      <c r="X34" s="185"/>
      <c r="Y34" s="185"/>
      <c r="Z34" s="185"/>
      <c r="AA34" s="185"/>
      <c r="AB34" s="185"/>
      <c r="AC34" s="186"/>
    </row>
    <row r="35" spans="2:29" ht="23.25" customHeight="1" thickBot="1">
      <c r="B35" s="257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184" t="s">
        <v>165</v>
      </c>
      <c r="U35" s="185"/>
      <c r="V35" s="185"/>
      <c r="W35" s="185"/>
      <c r="X35" s="185"/>
      <c r="Y35" s="185"/>
      <c r="Z35" s="185"/>
      <c r="AA35" s="185"/>
      <c r="AB35" s="185"/>
      <c r="AC35" s="186"/>
    </row>
    <row r="36" spans="2:29" ht="36" customHeight="1" thickBot="1">
      <c r="B36" s="1">
        <v>0</v>
      </c>
      <c r="C36" s="27">
        <v>0</v>
      </c>
      <c r="D36" s="68" t="s">
        <v>136</v>
      </c>
      <c r="E36" s="27" t="s">
        <v>116</v>
      </c>
      <c r="F36" s="68" t="s">
        <v>141</v>
      </c>
      <c r="H36" s="84" t="s">
        <v>333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23</v>
      </c>
      <c r="T36" s="184" t="s">
        <v>166</v>
      </c>
      <c r="U36" s="185"/>
      <c r="V36" s="185"/>
      <c r="W36" s="185"/>
      <c r="X36" s="185"/>
      <c r="Y36" s="185"/>
      <c r="Z36" s="185"/>
      <c r="AA36" s="185"/>
      <c r="AB36" s="185"/>
      <c r="AC36" s="186"/>
    </row>
    <row r="37" spans="2:29" ht="36.75" customHeight="1" thickBot="1">
      <c r="B37" s="2">
        <v>1</v>
      </c>
      <c r="C37" s="70" t="s">
        <v>106</v>
      </c>
      <c r="D37" s="69" t="s">
        <v>147</v>
      </c>
      <c r="E37" s="9" t="s">
        <v>117</v>
      </c>
      <c r="F37" s="35" t="s">
        <v>109</v>
      </c>
      <c r="H37" s="77" t="s">
        <v>65</v>
      </c>
      <c r="I37" s="78"/>
      <c r="J37" s="79"/>
      <c r="K37" s="79"/>
      <c r="L37" s="79"/>
      <c r="M37" s="178" t="s">
        <v>338</v>
      </c>
      <c r="N37" s="79" t="s">
        <v>337</v>
      </c>
      <c r="O37" s="79" t="s">
        <v>336</v>
      </c>
      <c r="P37" s="80" t="s">
        <v>335</v>
      </c>
      <c r="R37" s="2">
        <v>6</v>
      </c>
      <c r="S37" s="37" t="s">
        <v>12</v>
      </c>
      <c r="T37" s="184" t="s">
        <v>192</v>
      </c>
      <c r="U37" s="185"/>
      <c r="V37" s="185"/>
      <c r="W37" s="185"/>
      <c r="X37" s="185"/>
      <c r="Y37" s="185"/>
      <c r="Z37" s="185"/>
      <c r="AA37" s="185"/>
      <c r="AB37" s="185"/>
      <c r="AC37" s="186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189" t="s">
        <v>72</v>
      </c>
      <c r="T38" s="191" t="s">
        <v>167</v>
      </c>
      <c r="U38" s="192"/>
      <c r="V38" s="192"/>
      <c r="W38" s="192"/>
      <c r="X38" s="192"/>
      <c r="Y38" s="192"/>
      <c r="Z38" s="192"/>
      <c r="AA38" s="192"/>
      <c r="AB38" s="192"/>
      <c r="AC38" s="193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200" t="s">
        <v>179</v>
      </c>
      <c r="H39" s="201"/>
      <c r="I39" s="201"/>
      <c r="J39" s="202"/>
      <c r="R39" s="2">
        <v>8</v>
      </c>
      <c r="S39" s="190"/>
      <c r="T39" s="194"/>
      <c r="U39" s="195"/>
      <c r="V39" s="195"/>
      <c r="W39" s="195"/>
      <c r="X39" s="195"/>
      <c r="Y39" s="195"/>
      <c r="Z39" s="195"/>
      <c r="AA39" s="195"/>
      <c r="AB39" s="195"/>
      <c r="AC39" s="196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206"/>
      <c r="H40" s="207"/>
      <c r="I40" s="207"/>
      <c r="J40" s="208"/>
      <c r="R40" s="2">
        <v>9</v>
      </c>
      <c r="S40" s="37" t="s">
        <v>25</v>
      </c>
      <c r="T40" s="184" t="s">
        <v>168</v>
      </c>
      <c r="U40" s="185"/>
      <c r="V40" s="185"/>
      <c r="W40" s="185"/>
      <c r="X40" s="185"/>
      <c r="Y40" s="185"/>
      <c r="Z40" s="185"/>
      <c r="AA40" s="185"/>
      <c r="AB40" s="185"/>
      <c r="AC40" s="186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206"/>
      <c r="H41" s="207"/>
      <c r="I41" s="207"/>
      <c r="J41" s="208"/>
      <c r="R41" s="2">
        <v>10</v>
      </c>
      <c r="S41" s="37" t="s">
        <v>11</v>
      </c>
      <c r="T41" s="184" t="s">
        <v>169</v>
      </c>
      <c r="U41" s="185"/>
      <c r="V41" s="185"/>
      <c r="W41" s="185"/>
      <c r="X41" s="185"/>
      <c r="Y41" s="185"/>
      <c r="Z41" s="185"/>
      <c r="AA41" s="185"/>
      <c r="AB41" s="185"/>
      <c r="AC41" s="186"/>
    </row>
    <row r="42" spans="2:29" ht="31.5" customHeight="1" thickBot="1">
      <c r="B42" s="2">
        <v>6</v>
      </c>
      <c r="C42" s="33" t="s">
        <v>105</v>
      </c>
      <c r="D42" s="15" t="s">
        <v>175</v>
      </c>
      <c r="E42" s="9" t="s">
        <v>122</v>
      </c>
      <c r="F42" s="76" t="s">
        <v>174</v>
      </c>
      <c r="G42" s="203"/>
      <c r="H42" s="204"/>
      <c r="I42" s="204"/>
      <c r="J42" s="205"/>
      <c r="R42" s="2">
        <v>11</v>
      </c>
      <c r="S42" s="37" t="s">
        <v>159</v>
      </c>
      <c r="T42" s="184" t="s">
        <v>170</v>
      </c>
      <c r="U42" s="185"/>
      <c r="V42" s="185"/>
      <c r="W42" s="185"/>
      <c r="X42" s="185"/>
      <c r="Y42" s="185"/>
      <c r="Z42" s="185"/>
      <c r="AA42" s="185"/>
      <c r="AB42" s="185"/>
      <c r="AC42" s="186"/>
    </row>
    <row r="43" spans="2:29" ht="32.25" customHeight="1" thickBot="1">
      <c r="B43" s="2">
        <v>7</v>
      </c>
      <c r="C43" s="70" t="s">
        <v>107</v>
      </c>
      <c r="D43" s="69" t="s">
        <v>146</v>
      </c>
      <c r="E43" s="9" t="s">
        <v>123</v>
      </c>
      <c r="F43" s="35" t="s">
        <v>145</v>
      </c>
      <c r="G43" s="263" t="s">
        <v>189</v>
      </c>
      <c r="H43" s="187"/>
      <c r="I43" s="187"/>
      <c r="J43" s="188"/>
      <c r="R43" s="2">
        <v>12</v>
      </c>
      <c r="S43" s="37" t="s">
        <v>160</v>
      </c>
      <c r="T43" s="184" t="s">
        <v>171</v>
      </c>
      <c r="U43" s="185"/>
      <c r="V43" s="185"/>
      <c r="W43" s="185"/>
      <c r="X43" s="185"/>
      <c r="Y43" s="185"/>
      <c r="Z43" s="185"/>
      <c r="AA43" s="185"/>
      <c r="AB43" s="185"/>
      <c r="AC43" s="186"/>
    </row>
    <row r="44" spans="2:29" ht="45.75" thickBot="1">
      <c r="B44" s="2">
        <v>8</v>
      </c>
      <c r="C44" s="33" t="s">
        <v>137</v>
      </c>
      <c r="D44" s="69" t="s">
        <v>334</v>
      </c>
      <c r="E44" s="9" t="s">
        <v>124</v>
      </c>
      <c r="F44" s="35" t="s">
        <v>333</v>
      </c>
      <c r="R44" s="2">
        <v>13</v>
      </c>
      <c r="S44" s="189" t="s">
        <v>75</v>
      </c>
      <c r="T44" s="191" t="s">
        <v>172</v>
      </c>
      <c r="U44" s="192"/>
      <c r="V44" s="192"/>
      <c r="W44" s="192"/>
      <c r="X44" s="192"/>
      <c r="Y44" s="192"/>
      <c r="Z44" s="192"/>
      <c r="AA44" s="192"/>
      <c r="AB44" s="192"/>
      <c r="AC44" s="193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200" t="s">
        <v>178</v>
      </c>
      <c r="H45" s="201"/>
      <c r="I45" s="201"/>
      <c r="J45" s="202"/>
      <c r="R45" s="2">
        <v>14</v>
      </c>
      <c r="S45" s="190"/>
      <c r="T45" s="194"/>
      <c r="U45" s="195"/>
      <c r="V45" s="195"/>
      <c r="W45" s="195"/>
      <c r="X45" s="195"/>
      <c r="Y45" s="195"/>
      <c r="Z45" s="195"/>
      <c r="AA45" s="195"/>
      <c r="AB45" s="195"/>
      <c r="AC45" s="196"/>
    </row>
    <row r="46" spans="2:29" ht="29.25" customHeight="1" thickBot="1">
      <c r="B46" s="2">
        <v>10</v>
      </c>
      <c r="C46" s="33" t="s">
        <v>137</v>
      </c>
      <c r="D46" s="69" t="s">
        <v>142</v>
      </c>
      <c r="E46" s="9" t="s">
        <v>126</v>
      </c>
      <c r="F46" s="35" t="s">
        <v>143</v>
      </c>
      <c r="G46" s="203"/>
      <c r="H46" s="204"/>
      <c r="I46" s="204"/>
      <c r="J46" s="205"/>
      <c r="R46" s="4">
        <v>15</v>
      </c>
      <c r="S46" s="40" t="s">
        <v>144</v>
      </c>
      <c r="T46" s="197" t="s">
        <v>173</v>
      </c>
      <c r="U46" s="198"/>
      <c r="V46" s="198"/>
      <c r="W46" s="198"/>
      <c r="X46" s="198"/>
      <c r="Y46" s="198"/>
      <c r="Z46" s="198"/>
      <c r="AA46" s="198"/>
      <c r="AB46" s="198"/>
      <c r="AC46" s="199"/>
    </row>
    <row r="47" spans="2:29" ht="51" customHeight="1" thickBot="1">
      <c r="B47" s="2">
        <v>11</v>
      </c>
      <c r="C47" s="33" t="s">
        <v>137</v>
      </c>
      <c r="D47" s="69" t="s">
        <v>149</v>
      </c>
      <c r="E47" s="9" t="s">
        <v>127</v>
      </c>
      <c r="F47" s="35" t="s">
        <v>148</v>
      </c>
      <c r="G47" s="187" t="s">
        <v>150</v>
      </c>
      <c r="H47" s="187"/>
      <c r="I47" s="187"/>
      <c r="J47" s="188"/>
    </row>
    <row r="48" spans="2:29" ht="40.5" customHeight="1" thickBot="1">
      <c r="B48" s="2">
        <v>12</v>
      </c>
      <c r="C48" s="33" t="s">
        <v>137</v>
      </c>
      <c r="D48" s="69" t="s">
        <v>191</v>
      </c>
      <c r="E48" s="9" t="s">
        <v>128</v>
      </c>
      <c r="F48" s="35" t="s">
        <v>190</v>
      </c>
      <c r="AA48" s="106" t="s">
        <v>213</v>
      </c>
    </row>
    <row r="49" spans="2:14" ht="35.25" customHeight="1">
      <c r="B49" s="2">
        <v>13</v>
      </c>
      <c r="C49" s="33" t="s">
        <v>137</v>
      </c>
      <c r="D49" s="35" t="s">
        <v>152</v>
      </c>
      <c r="E49" s="9" t="s">
        <v>129</v>
      </c>
      <c r="F49" s="35" t="s">
        <v>151</v>
      </c>
      <c r="G49" s="200" t="s">
        <v>153</v>
      </c>
      <c r="H49" s="201"/>
      <c r="I49" s="201"/>
      <c r="J49" s="202"/>
    </row>
    <row r="50" spans="2:14" ht="30" customHeight="1">
      <c r="B50" s="2">
        <v>14</v>
      </c>
      <c r="C50" s="33" t="s">
        <v>137</v>
      </c>
      <c r="D50" s="35" t="s">
        <v>152</v>
      </c>
      <c r="E50" s="9" t="s">
        <v>130</v>
      </c>
      <c r="F50" s="35" t="s">
        <v>151</v>
      </c>
      <c r="G50" s="206"/>
      <c r="H50" s="207"/>
      <c r="I50" s="207"/>
      <c r="J50" s="208"/>
    </row>
    <row r="51" spans="2:14" ht="32.25" customHeight="1" thickBot="1">
      <c r="B51" s="4">
        <v>15</v>
      </c>
      <c r="C51" s="12" t="s">
        <v>137</v>
      </c>
      <c r="D51" s="35" t="s">
        <v>152</v>
      </c>
      <c r="E51" s="63" t="s">
        <v>131</v>
      </c>
      <c r="F51" s="14" t="s">
        <v>151</v>
      </c>
      <c r="G51" s="203"/>
      <c r="H51" s="204"/>
      <c r="I51" s="204"/>
      <c r="J51" s="205"/>
    </row>
    <row r="52" spans="2:14" ht="30.75" customHeight="1" thickBot="1">
      <c r="B52" s="258" t="s">
        <v>140</v>
      </c>
      <c r="C52" s="239"/>
      <c r="D52" s="239"/>
      <c r="E52" s="239"/>
      <c r="F52" s="240"/>
    </row>
    <row r="53" spans="2:14" ht="31.5" customHeight="1" thickBot="1"/>
    <row r="54" spans="2:14" ht="36.75" customHeight="1">
      <c r="B54" s="252" t="s">
        <v>180</v>
      </c>
      <c r="C54" s="250" t="s">
        <v>182</v>
      </c>
      <c r="D54" s="264" t="s">
        <v>181</v>
      </c>
      <c r="E54" s="265"/>
      <c r="H54" s="301" t="s">
        <v>344</v>
      </c>
      <c r="I54" s="250" t="s">
        <v>182</v>
      </c>
      <c r="J54" s="304" t="s">
        <v>181</v>
      </c>
      <c r="K54" s="305"/>
      <c r="L54" s="306"/>
    </row>
    <row r="55" spans="2:14" ht="24" customHeight="1" thickBot="1">
      <c r="B55" s="253"/>
      <c r="C55" s="251"/>
      <c r="D55" s="266"/>
      <c r="E55" s="267"/>
      <c r="H55" s="302"/>
      <c r="I55" s="307"/>
      <c r="J55" s="241"/>
      <c r="K55" s="303"/>
      <c r="L55" s="308"/>
    </row>
    <row r="56" spans="2:14" ht="49.5" customHeight="1" thickBot="1">
      <c r="B56" s="81">
        <v>0</v>
      </c>
      <c r="C56" s="23" t="s">
        <v>10</v>
      </c>
      <c r="D56" s="181" t="s">
        <v>200</v>
      </c>
      <c r="E56" s="183"/>
      <c r="H56" s="81" t="s">
        <v>347</v>
      </c>
      <c r="I56" s="45" t="s">
        <v>342</v>
      </c>
      <c r="J56" s="312" t="s">
        <v>345</v>
      </c>
      <c r="K56" s="313"/>
      <c r="L56" s="314"/>
      <c r="M56" s="263" t="s">
        <v>348</v>
      </c>
      <c r="N56" s="188"/>
    </row>
    <row r="57" spans="2:14" ht="49.5" customHeight="1" thickBot="1">
      <c r="B57" s="82">
        <v>1</v>
      </c>
      <c r="C57" s="85" t="s">
        <v>339</v>
      </c>
      <c r="D57" s="254" t="s">
        <v>340</v>
      </c>
      <c r="E57" s="255"/>
      <c r="F57" s="263" t="s">
        <v>341</v>
      </c>
      <c r="G57" s="188"/>
      <c r="H57" s="82">
        <v>0</v>
      </c>
      <c r="I57" s="85" t="s">
        <v>346</v>
      </c>
      <c r="J57" s="309" t="s">
        <v>351</v>
      </c>
      <c r="K57" s="310"/>
      <c r="L57" s="311"/>
    </row>
    <row r="58" spans="2:14" ht="30.75" customHeight="1">
      <c r="B58" s="82">
        <v>2</v>
      </c>
      <c r="C58" s="85" t="s">
        <v>193</v>
      </c>
      <c r="D58" s="254" t="s">
        <v>194</v>
      </c>
      <c r="E58" s="255"/>
      <c r="H58" s="82">
        <v>1</v>
      </c>
      <c r="I58" s="85" t="s">
        <v>349</v>
      </c>
      <c r="J58" s="309" t="s">
        <v>352</v>
      </c>
      <c r="K58" s="310"/>
      <c r="L58" s="311"/>
    </row>
    <row r="59" spans="2:14" ht="33.75" customHeight="1">
      <c r="B59" s="82">
        <v>3</v>
      </c>
      <c r="C59" s="85" t="s">
        <v>183</v>
      </c>
      <c r="D59" s="254" t="s">
        <v>186</v>
      </c>
      <c r="E59" s="255"/>
      <c r="H59" s="82">
        <v>2</v>
      </c>
      <c r="I59" s="85" t="s">
        <v>343</v>
      </c>
      <c r="J59" s="309" t="s">
        <v>353</v>
      </c>
      <c r="K59" s="310"/>
      <c r="L59" s="311"/>
    </row>
    <row r="60" spans="2:14" ht="28.5" customHeight="1">
      <c r="B60" s="82">
        <v>4</v>
      </c>
      <c r="C60" s="38" t="s">
        <v>184</v>
      </c>
      <c r="D60" s="254" t="s">
        <v>187</v>
      </c>
      <c r="E60" s="255"/>
      <c r="H60" s="82">
        <v>3</v>
      </c>
      <c r="I60" s="38" t="s">
        <v>350</v>
      </c>
      <c r="J60" s="309" t="s">
        <v>354</v>
      </c>
      <c r="K60" s="310"/>
      <c r="L60" s="311"/>
    </row>
    <row r="61" spans="2:14" ht="40.5" customHeight="1">
      <c r="B61" s="82">
        <v>5</v>
      </c>
      <c r="C61" s="38" t="s">
        <v>185</v>
      </c>
      <c r="D61" s="254" t="s">
        <v>188</v>
      </c>
      <c r="E61" s="255"/>
      <c r="H61" s="82">
        <v>4</v>
      </c>
      <c r="I61" s="38"/>
      <c r="J61" s="309"/>
      <c r="K61" s="310"/>
      <c r="L61" s="311"/>
    </row>
    <row r="62" spans="2:14" ht="53.25" customHeight="1">
      <c r="B62" s="82">
        <v>6</v>
      </c>
      <c r="C62" s="38"/>
      <c r="D62" s="254"/>
      <c r="E62" s="255"/>
      <c r="H62" s="82">
        <v>5</v>
      </c>
      <c r="I62" s="38"/>
      <c r="J62" s="309"/>
      <c r="K62" s="310"/>
      <c r="L62" s="311"/>
    </row>
    <row r="63" spans="2:14" ht="36" customHeight="1">
      <c r="B63" s="82">
        <v>7</v>
      </c>
      <c r="C63" s="85"/>
      <c r="D63" s="254"/>
      <c r="E63" s="255"/>
      <c r="H63" s="82">
        <v>6</v>
      </c>
      <c r="I63" s="85"/>
      <c r="J63" s="309"/>
      <c r="K63" s="310"/>
      <c r="L63" s="311"/>
    </row>
    <row r="64" spans="2:14" ht="40.5" customHeight="1">
      <c r="B64" s="82">
        <v>8</v>
      </c>
      <c r="C64" s="85"/>
      <c r="D64" s="254"/>
      <c r="E64" s="255"/>
    </row>
    <row r="65" spans="2:5">
      <c r="B65" s="82">
        <v>9</v>
      </c>
      <c r="C65" s="85"/>
      <c r="D65" s="254"/>
      <c r="E65" s="255"/>
    </row>
    <row r="66" spans="2:5" ht="30" customHeight="1">
      <c r="B66" s="82">
        <v>10</v>
      </c>
      <c r="C66" s="85"/>
      <c r="D66" s="254"/>
      <c r="E66" s="255"/>
    </row>
    <row r="67" spans="2:5">
      <c r="B67" s="82">
        <v>11</v>
      </c>
      <c r="C67" s="85"/>
      <c r="D67" s="254"/>
      <c r="E67" s="255"/>
    </row>
    <row r="68" spans="2:5">
      <c r="B68" s="82">
        <v>12</v>
      </c>
      <c r="C68" s="85"/>
      <c r="D68" s="254"/>
      <c r="E68" s="255"/>
    </row>
    <row r="69" spans="2:5">
      <c r="B69" s="82">
        <v>13</v>
      </c>
      <c r="C69" s="85"/>
      <c r="D69" s="254"/>
      <c r="E69" s="255"/>
    </row>
    <row r="70" spans="2:5" ht="30" customHeight="1">
      <c r="B70" s="82">
        <v>14</v>
      </c>
      <c r="C70" s="85"/>
      <c r="D70" s="254"/>
      <c r="E70" s="255"/>
    </row>
    <row r="71" spans="2:5" ht="15.75" thickBot="1">
      <c r="B71" s="83">
        <v>15</v>
      </c>
      <c r="C71" s="86"/>
      <c r="D71" s="261"/>
      <c r="E71" s="262"/>
    </row>
    <row r="75" spans="2:5" ht="72" customHeight="1"/>
  </sheetData>
  <mergeCells count="171">
    <mergeCell ref="M56:N56"/>
    <mergeCell ref="J54:L55"/>
    <mergeCell ref="J56:L56"/>
    <mergeCell ref="J57:L57"/>
    <mergeCell ref="J58:L58"/>
    <mergeCell ref="J59:L59"/>
    <mergeCell ref="J60:L60"/>
    <mergeCell ref="J61:L61"/>
    <mergeCell ref="J62:L62"/>
    <mergeCell ref="J63:L63"/>
    <mergeCell ref="D70:E70"/>
    <mergeCell ref="D71:E71"/>
    <mergeCell ref="G43:J43"/>
    <mergeCell ref="D61:E61"/>
    <mergeCell ref="D58:E58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60:E60"/>
    <mergeCell ref="D56:E56"/>
    <mergeCell ref="G49:J51"/>
    <mergeCell ref="D62:E62"/>
    <mergeCell ref="F57:G57"/>
    <mergeCell ref="H54:H55"/>
    <mergeCell ref="I54:I55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A6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8" t="s">
        <v>201</v>
      </c>
      <c r="C2" s="103" t="s">
        <v>202</v>
      </c>
      <c r="D2" s="103" t="s">
        <v>203</v>
      </c>
      <c r="E2" s="119" t="s">
        <v>204</v>
      </c>
      <c r="F2" s="102" t="s">
        <v>205</v>
      </c>
      <c r="G2" s="200" t="s">
        <v>206</v>
      </c>
      <c r="H2" s="201"/>
      <c r="I2" s="201"/>
      <c r="J2" s="202"/>
      <c r="L2" s="292" t="s">
        <v>325</v>
      </c>
      <c r="M2" s="293"/>
      <c r="N2" s="293"/>
      <c r="O2" s="294"/>
      <c r="P2" s="132"/>
      <c r="Q2" s="295" t="s">
        <v>285</v>
      </c>
      <c r="R2" s="296"/>
      <c r="S2" s="296"/>
      <c r="T2" s="297"/>
      <c r="U2" s="132"/>
      <c r="V2" s="289" t="s">
        <v>308</v>
      </c>
      <c r="W2" s="290"/>
      <c r="X2" s="290"/>
      <c r="Y2" s="290"/>
      <c r="Z2" s="290"/>
      <c r="AA2" s="290"/>
      <c r="AB2" s="291"/>
    </row>
    <row r="3" spans="2:28" ht="43.5" customHeight="1" thickBot="1">
      <c r="B3" s="89" t="s">
        <v>269</v>
      </c>
      <c r="C3" s="95">
        <v>0</v>
      </c>
      <c r="D3" s="96">
        <v>0</v>
      </c>
      <c r="E3" s="96">
        <v>0</v>
      </c>
      <c r="F3" s="97" t="str">
        <f t="shared" ref="F3:F12" si="0">DEC2HEX(HEX2DEC($H$3)+_xlfn.BITLSHIFT(C3,20)+_xlfn.BITLSHIFT(D3,15)+_xlfn.BITLSHIFT(E3,12))</f>
        <v>E0000000</v>
      </c>
      <c r="G3" s="92" t="s">
        <v>207</v>
      </c>
      <c r="H3" s="181" t="s">
        <v>211</v>
      </c>
      <c r="I3" s="182"/>
      <c r="J3" s="183"/>
      <c r="L3" s="144" t="s">
        <v>271</v>
      </c>
      <c r="M3" s="145" t="s">
        <v>272</v>
      </c>
      <c r="N3" s="146" t="s">
        <v>273</v>
      </c>
      <c r="O3" s="147" t="s">
        <v>274</v>
      </c>
      <c r="P3" s="132"/>
      <c r="Q3" s="168" t="s">
        <v>271</v>
      </c>
      <c r="R3" s="169" t="s">
        <v>272</v>
      </c>
      <c r="S3" s="169" t="s">
        <v>273</v>
      </c>
      <c r="T3" s="170" t="s">
        <v>274</v>
      </c>
      <c r="U3" s="132"/>
      <c r="V3" s="168" t="s">
        <v>271</v>
      </c>
      <c r="W3" s="171" t="s">
        <v>272</v>
      </c>
      <c r="X3" s="169" t="s">
        <v>273</v>
      </c>
      <c r="Y3" s="170" t="s">
        <v>274</v>
      </c>
      <c r="Z3" s="280" t="s">
        <v>313</v>
      </c>
      <c r="AA3" s="281"/>
      <c r="AB3" s="282"/>
    </row>
    <row r="4" spans="2:28" ht="53.25" customHeight="1">
      <c r="B4" s="90" t="s">
        <v>221</v>
      </c>
      <c r="C4" s="98">
        <v>0</v>
      </c>
      <c r="D4" s="99">
        <v>1</v>
      </c>
      <c r="E4" s="99">
        <v>0</v>
      </c>
      <c r="F4" s="104" t="str">
        <f t="shared" si="0"/>
        <v>E0008000</v>
      </c>
      <c r="G4" s="93" t="s">
        <v>208</v>
      </c>
      <c r="H4" s="184">
        <v>63</v>
      </c>
      <c r="I4" s="185"/>
      <c r="J4" s="186"/>
      <c r="L4" s="150" t="s">
        <v>240</v>
      </c>
      <c r="M4" s="176" t="s">
        <v>275</v>
      </c>
      <c r="N4" s="99" t="s">
        <v>317</v>
      </c>
      <c r="O4" s="134" t="s">
        <v>320</v>
      </c>
      <c r="P4" s="132"/>
      <c r="Q4" s="162" t="s">
        <v>276</v>
      </c>
      <c r="R4" s="138" t="s">
        <v>275</v>
      </c>
      <c r="S4" s="136" t="s">
        <v>283</v>
      </c>
      <c r="T4" s="137" t="s">
        <v>286</v>
      </c>
      <c r="U4" s="132"/>
      <c r="V4" s="162" t="s">
        <v>276</v>
      </c>
      <c r="W4" s="138" t="s">
        <v>275</v>
      </c>
      <c r="X4" s="136" t="s">
        <v>328</v>
      </c>
      <c r="Y4" s="137" t="s">
        <v>311</v>
      </c>
      <c r="Z4" s="283" t="s">
        <v>314</v>
      </c>
      <c r="AA4" s="284"/>
      <c r="AB4" s="285"/>
    </row>
    <row r="5" spans="2:28" ht="47.25" customHeight="1">
      <c r="B5" s="90" t="s">
        <v>222</v>
      </c>
      <c r="C5" s="98">
        <v>0</v>
      </c>
      <c r="D5" s="99">
        <v>2</v>
      </c>
      <c r="E5" s="99">
        <v>0</v>
      </c>
      <c r="F5" s="104" t="str">
        <f t="shared" si="0"/>
        <v>E0010000</v>
      </c>
      <c r="G5" s="93" t="s">
        <v>209</v>
      </c>
      <c r="H5" s="184">
        <v>31</v>
      </c>
      <c r="I5" s="185"/>
      <c r="J5" s="186"/>
      <c r="L5" s="148" t="s">
        <v>249</v>
      </c>
      <c r="M5" s="98" t="s">
        <v>275</v>
      </c>
      <c r="N5" s="173" t="s">
        <v>318</v>
      </c>
      <c r="O5" s="134" t="s">
        <v>316</v>
      </c>
      <c r="P5" s="132"/>
      <c r="Q5" s="163" t="s">
        <v>277</v>
      </c>
      <c r="R5" s="139" t="s">
        <v>275</v>
      </c>
      <c r="S5" s="133" t="s">
        <v>321</v>
      </c>
      <c r="T5" s="134" t="s">
        <v>286</v>
      </c>
      <c r="U5" s="132"/>
      <c r="V5" s="163" t="s">
        <v>277</v>
      </c>
      <c r="W5" s="139" t="s">
        <v>275</v>
      </c>
      <c r="X5" s="133" t="s">
        <v>282</v>
      </c>
      <c r="Y5" s="134" t="s">
        <v>288</v>
      </c>
      <c r="Z5" s="283"/>
      <c r="AA5" s="284"/>
      <c r="AB5" s="285"/>
    </row>
    <row r="6" spans="2:28" ht="43.5" customHeight="1" thickBot="1">
      <c r="B6" s="107" t="s">
        <v>270</v>
      </c>
      <c r="C6" s="108">
        <v>0</v>
      </c>
      <c r="D6" s="109">
        <v>3</v>
      </c>
      <c r="E6" s="109">
        <v>0</v>
      </c>
      <c r="F6" s="110" t="str">
        <f t="shared" si="0"/>
        <v>E0018000</v>
      </c>
      <c r="G6" s="94" t="s">
        <v>210</v>
      </c>
      <c r="H6" s="197">
        <v>7</v>
      </c>
      <c r="I6" s="198"/>
      <c r="J6" s="199"/>
      <c r="L6" s="151" t="s">
        <v>235</v>
      </c>
      <c r="M6" s="141" t="s">
        <v>275</v>
      </c>
      <c r="N6" s="99" t="s">
        <v>319</v>
      </c>
      <c r="O6" s="134" t="s">
        <v>284</v>
      </c>
      <c r="P6" s="132"/>
      <c r="Q6" s="163" t="s">
        <v>278</v>
      </c>
      <c r="R6" s="139" t="s">
        <v>275</v>
      </c>
      <c r="S6" s="133" t="s">
        <v>322</v>
      </c>
      <c r="T6" s="134" t="s">
        <v>286</v>
      </c>
      <c r="U6" s="132"/>
      <c r="V6" s="164" t="s">
        <v>278</v>
      </c>
      <c r="W6" s="140" t="s">
        <v>275</v>
      </c>
      <c r="X6" s="135" t="s">
        <v>309</v>
      </c>
      <c r="Y6" s="143" t="s">
        <v>310</v>
      </c>
      <c r="Z6" s="286"/>
      <c r="AA6" s="287"/>
      <c r="AB6" s="288"/>
    </row>
    <row r="7" spans="2:28" ht="57" customHeight="1" thickBot="1">
      <c r="B7" s="89" t="s">
        <v>214</v>
      </c>
      <c r="C7" s="95">
        <v>1</v>
      </c>
      <c r="D7" s="96">
        <v>0</v>
      </c>
      <c r="E7" s="96">
        <v>0</v>
      </c>
      <c r="F7" s="97" t="str">
        <f t="shared" si="0"/>
        <v>E0100000</v>
      </c>
      <c r="G7" s="87" t="s">
        <v>268</v>
      </c>
      <c r="H7" s="275" t="str">
        <f>DEC2HEX(HEX2DEC($H$3)+_xlfn.BITLSHIFT(H4,20)+_xlfn.BITLSHIFT(H5,15)+_xlfn.BITLSHIFT(H6,12))</f>
        <v>E3FFF000</v>
      </c>
      <c r="I7" s="276"/>
      <c r="J7" s="277"/>
      <c r="L7" s="149" t="s">
        <v>260</v>
      </c>
      <c r="M7" s="142" t="s">
        <v>275</v>
      </c>
      <c r="N7" s="101" t="s">
        <v>326</v>
      </c>
      <c r="O7" s="143" t="s">
        <v>324</v>
      </c>
      <c r="P7" s="132"/>
      <c r="Q7" s="163" t="s">
        <v>279</v>
      </c>
      <c r="R7" s="139" t="s">
        <v>275</v>
      </c>
      <c r="S7" s="133" t="s">
        <v>323</v>
      </c>
      <c r="T7" s="134" t="s">
        <v>286</v>
      </c>
      <c r="U7" s="132"/>
    </row>
    <row r="8" spans="2:28" ht="43.5" customHeight="1" thickBot="1">
      <c r="B8" s="90" t="s">
        <v>215</v>
      </c>
      <c r="C8" s="98">
        <v>1</v>
      </c>
      <c r="D8" s="99">
        <v>1</v>
      </c>
      <c r="E8" s="99">
        <v>0</v>
      </c>
      <c r="F8" s="104" t="str">
        <f t="shared" si="0"/>
        <v>E0108000</v>
      </c>
      <c r="G8" s="87" t="s">
        <v>212</v>
      </c>
      <c r="H8" s="275" t="str">
        <f>DEC2HEX(HEX2DEC($H$3)+_xlfn.BITLSHIFT(H4,20)+_xlfn.BITLSHIFT(H5,15)+_xlfn.BITLSHIFT(H6,12)+4095)</f>
        <v>E3FFFFFF</v>
      </c>
      <c r="I8" s="276"/>
      <c r="J8" s="277"/>
      <c r="L8" s="263" t="s">
        <v>327</v>
      </c>
      <c r="M8" s="187"/>
      <c r="N8" s="187"/>
      <c r="O8" s="188"/>
      <c r="P8" s="132"/>
      <c r="Q8" s="163" t="s">
        <v>280</v>
      </c>
      <c r="R8" s="139" t="s">
        <v>275</v>
      </c>
      <c r="S8" s="133" t="s">
        <v>281</v>
      </c>
      <c r="T8" s="134" t="s">
        <v>287</v>
      </c>
      <c r="U8" s="132"/>
      <c r="X8" s="172" t="s">
        <v>315</v>
      </c>
    </row>
    <row r="9" spans="2:28" ht="65.25" customHeight="1" thickBot="1">
      <c r="B9" s="90" t="s">
        <v>216</v>
      </c>
      <c r="C9" s="98">
        <v>1</v>
      </c>
      <c r="D9" s="99">
        <v>2</v>
      </c>
      <c r="E9" s="99">
        <v>0</v>
      </c>
      <c r="F9" s="104" t="str">
        <f t="shared" si="0"/>
        <v>E0110000</v>
      </c>
      <c r="G9" s="15"/>
      <c r="H9" s="15"/>
      <c r="I9" s="15"/>
      <c r="J9" s="15"/>
      <c r="P9" s="132"/>
      <c r="Q9" s="164" t="s">
        <v>312</v>
      </c>
      <c r="R9" s="140" t="s">
        <v>275</v>
      </c>
      <c r="S9" s="135" t="s">
        <v>282</v>
      </c>
      <c r="T9" s="143" t="s">
        <v>288</v>
      </c>
      <c r="U9" s="132"/>
    </row>
    <row r="10" spans="2:28" ht="28.5" customHeight="1" thickBot="1">
      <c r="B10" s="90" t="s">
        <v>217</v>
      </c>
      <c r="C10" s="98">
        <v>1</v>
      </c>
      <c r="D10" s="99">
        <v>3</v>
      </c>
      <c r="E10" s="99">
        <v>0</v>
      </c>
      <c r="F10" s="104" t="str">
        <f t="shared" si="0"/>
        <v>E0118000</v>
      </c>
      <c r="G10" s="15"/>
      <c r="H10" s="15"/>
      <c r="I10" s="15"/>
      <c r="J10" s="15"/>
      <c r="L10" s="132"/>
      <c r="M10" s="132"/>
      <c r="N10" s="132"/>
      <c r="O10" s="132"/>
      <c r="P10" s="132"/>
      <c r="U10" s="132"/>
    </row>
    <row r="11" spans="2:28" ht="36.75" customHeight="1" thickBot="1">
      <c r="B11" s="90" t="s">
        <v>218</v>
      </c>
      <c r="C11" s="98">
        <v>1</v>
      </c>
      <c r="D11" s="99">
        <v>4</v>
      </c>
      <c r="E11" s="99">
        <v>0</v>
      </c>
      <c r="F11" s="104" t="str">
        <f t="shared" si="0"/>
        <v>E0120000</v>
      </c>
      <c r="G11" s="15"/>
      <c r="H11" s="15"/>
      <c r="I11" s="15"/>
      <c r="J11" s="15"/>
      <c r="L11" s="132"/>
      <c r="M11" s="132"/>
      <c r="N11" s="132"/>
      <c r="O11" s="132"/>
      <c r="P11" s="132"/>
      <c r="Q11" s="298" t="s">
        <v>307</v>
      </c>
      <c r="R11" s="299"/>
      <c r="S11" s="299"/>
      <c r="T11" s="300"/>
      <c r="U11" s="132"/>
    </row>
    <row r="12" spans="2:28" ht="44.25" customHeight="1" thickBot="1">
      <c r="B12" s="90" t="s">
        <v>219</v>
      </c>
      <c r="C12" s="98">
        <v>1</v>
      </c>
      <c r="D12" s="99">
        <v>5</v>
      </c>
      <c r="E12" s="99">
        <v>0</v>
      </c>
      <c r="F12" s="104" t="str">
        <f t="shared" si="0"/>
        <v>E0128000</v>
      </c>
      <c r="G12" s="15"/>
      <c r="H12" s="15"/>
      <c r="I12" s="15"/>
      <c r="J12" s="15"/>
      <c r="L12" s="132"/>
      <c r="M12" s="132"/>
      <c r="N12" s="132"/>
      <c r="O12" s="132"/>
      <c r="P12" s="132"/>
      <c r="Q12" s="144" t="s">
        <v>289</v>
      </c>
      <c r="R12" s="174" t="s">
        <v>272</v>
      </c>
      <c r="S12" s="174" t="s">
        <v>273</v>
      </c>
      <c r="T12" s="175" t="s">
        <v>274</v>
      </c>
      <c r="U12" s="132"/>
    </row>
    <row r="13" spans="2:28" ht="51.75" customHeight="1" thickBot="1">
      <c r="B13" s="91" t="s">
        <v>220</v>
      </c>
      <c r="C13" s="100">
        <v>1</v>
      </c>
      <c r="D13" s="101">
        <v>7</v>
      </c>
      <c r="E13" s="101">
        <v>0</v>
      </c>
      <c r="F13" s="105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2"/>
      <c r="M13" s="132"/>
      <c r="N13" s="132"/>
      <c r="O13" s="132"/>
      <c r="P13" s="132"/>
      <c r="Q13" s="165" t="s">
        <v>290</v>
      </c>
      <c r="R13" s="159" t="s">
        <v>291</v>
      </c>
      <c r="S13" s="160" t="s">
        <v>292</v>
      </c>
      <c r="T13" s="161" t="s">
        <v>293</v>
      </c>
      <c r="U13" s="132"/>
    </row>
    <row r="14" spans="2:28" ht="54" customHeight="1">
      <c r="G14" s="15"/>
      <c r="H14" s="15"/>
      <c r="I14" s="15"/>
      <c r="J14" s="15"/>
      <c r="L14" s="132"/>
      <c r="M14" s="132"/>
      <c r="N14" s="132"/>
      <c r="O14" s="132"/>
      <c r="P14" s="132"/>
      <c r="Q14" s="166" t="s">
        <v>294</v>
      </c>
      <c r="R14" s="157" t="s">
        <v>291</v>
      </c>
      <c r="S14" s="152" t="s">
        <v>295</v>
      </c>
      <c r="T14" s="153" t="s">
        <v>296</v>
      </c>
      <c r="U14" s="132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2"/>
      <c r="M15" s="132"/>
      <c r="N15" s="132"/>
      <c r="O15" s="132"/>
      <c r="P15" s="132"/>
      <c r="Q15" s="166" t="s">
        <v>297</v>
      </c>
      <c r="R15" s="157" t="s">
        <v>298</v>
      </c>
      <c r="S15" s="152" t="s">
        <v>299</v>
      </c>
      <c r="T15" s="153" t="s">
        <v>300</v>
      </c>
      <c r="U15" s="132"/>
    </row>
    <row r="16" spans="2:28" ht="68.25" customHeight="1" thickBot="1">
      <c r="B16" s="120" t="s">
        <v>223</v>
      </c>
      <c r="C16" s="121" t="s">
        <v>224</v>
      </c>
      <c r="D16" s="122" t="s">
        <v>225</v>
      </c>
      <c r="E16" s="122" t="s">
        <v>226</v>
      </c>
      <c r="F16" s="123" t="s">
        <v>227</v>
      </c>
      <c r="G16" s="258" t="s">
        <v>265</v>
      </c>
      <c r="H16" s="239"/>
      <c r="I16" s="239"/>
      <c r="J16" s="240"/>
      <c r="Q16" s="166" t="s">
        <v>301</v>
      </c>
      <c r="R16" s="157" t="s">
        <v>275</v>
      </c>
      <c r="S16" s="152" t="s">
        <v>302</v>
      </c>
      <c r="T16" s="154" t="s">
        <v>303</v>
      </c>
    </row>
    <row r="17" spans="2:20" ht="60.75" customHeight="1" thickBot="1">
      <c r="B17" s="270" t="s">
        <v>228</v>
      </c>
      <c r="C17" s="268" t="s">
        <v>229</v>
      </c>
      <c r="D17" s="124" t="s">
        <v>228</v>
      </c>
      <c r="E17" s="125" t="s">
        <v>230</v>
      </c>
      <c r="F17" s="126" t="s">
        <v>231</v>
      </c>
      <c r="G17" s="272" t="s">
        <v>266</v>
      </c>
      <c r="H17" s="273"/>
      <c r="I17" s="273"/>
      <c r="J17" s="274"/>
      <c r="Q17" s="167" t="s">
        <v>304</v>
      </c>
      <c r="R17" s="158" t="s">
        <v>298</v>
      </c>
      <c r="S17" s="155" t="s">
        <v>305</v>
      </c>
      <c r="T17" s="156" t="s">
        <v>306</v>
      </c>
    </row>
    <row r="18" spans="2:20" ht="51.75" customHeight="1" thickBot="1">
      <c r="B18" s="278"/>
      <c r="C18" s="279"/>
      <c r="D18" s="111" t="s">
        <v>232</v>
      </c>
      <c r="E18" s="112" t="s">
        <v>233</v>
      </c>
      <c r="F18" s="114" t="s">
        <v>234</v>
      </c>
      <c r="G18" s="275" t="s">
        <v>267</v>
      </c>
      <c r="H18" s="276"/>
      <c r="I18" s="276"/>
      <c r="J18" s="277"/>
    </row>
    <row r="19" spans="2:20" ht="51.75" customHeight="1" thickBot="1">
      <c r="B19" s="271"/>
      <c r="C19" s="269"/>
      <c r="D19" s="116" t="s">
        <v>235</v>
      </c>
      <c r="E19" s="127" t="s">
        <v>236</v>
      </c>
      <c r="F19" s="117" t="s">
        <v>237</v>
      </c>
      <c r="G19" s="15"/>
      <c r="H19" s="15"/>
      <c r="I19" s="15"/>
      <c r="J19" s="15"/>
    </row>
    <row r="20" spans="2:20" ht="51.75" customHeight="1">
      <c r="B20" s="270" t="s">
        <v>238</v>
      </c>
      <c r="C20" s="268" t="s">
        <v>239</v>
      </c>
      <c r="D20" s="124" t="s">
        <v>240</v>
      </c>
      <c r="E20" s="125" t="s">
        <v>241</v>
      </c>
      <c r="F20" s="126" t="s">
        <v>240</v>
      </c>
      <c r="G20" s="15"/>
      <c r="H20" s="15"/>
      <c r="I20" s="15"/>
      <c r="J20" s="15"/>
    </row>
    <row r="21" spans="2:20" ht="51.75" customHeight="1" thickBot="1">
      <c r="B21" s="271"/>
      <c r="C21" s="269"/>
      <c r="D21" s="116" t="s">
        <v>242</v>
      </c>
      <c r="E21" s="115" t="s">
        <v>243</v>
      </c>
      <c r="F21" s="117" t="s">
        <v>240</v>
      </c>
      <c r="G21" s="15"/>
      <c r="H21" s="15"/>
      <c r="I21" s="15"/>
      <c r="J21" s="15"/>
    </row>
    <row r="22" spans="2:20" ht="51.75" customHeight="1">
      <c r="B22" s="270" t="s">
        <v>244</v>
      </c>
      <c r="C22" s="268" t="s">
        <v>245</v>
      </c>
      <c r="D22" s="124" t="s">
        <v>240</v>
      </c>
      <c r="E22" s="113" t="s">
        <v>246</v>
      </c>
      <c r="F22" s="126" t="s">
        <v>247</v>
      </c>
      <c r="G22" s="15"/>
      <c r="H22" s="15"/>
      <c r="I22" s="15"/>
      <c r="J22" s="15"/>
    </row>
    <row r="23" spans="2:20" ht="51.75" customHeight="1" thickBot="1">
      <c r="B23" s="271"/>
      <c r="C23" s="269"/>
      <c r="D23" s="116" t="s">
        <v>238</v>
      </c>
      <c r="E23" s="115" t="s">
        <v>248</v>
      </c>
      <c r="F23" s="117" t="s">
        <v>240</v>
      </c>
      <c r="G23" s="15"/>
      <c r="H23" s="15"/>
      <c r="I23" s="15"/>
      <c r="J23" s="15"/>
    </row>
    <row r="24" spans="2:20" ht="51.75" customHeight="1">
      <c r="B24" s="270" t="s">
        <v>249</v>
      </c>
      <c r="C24" s="268" t="s">
        <v>250</v>
      </c>
      <c r="D24" s="124" t="s">
        <v>228</v>
      </c>
      <c r="E24" s="125" t="s">
        <v>251</v>
      </c>
      <c r="F24" s="126" t="s">
        <v>240</v>
      </c>
      <c r="G24" s="15"/>
      <c r="H24" s="15"/>
      <c r="I24" s="15"/>
      <c r="J24" s="15"/>
    </row>
    <row r="25" spans="2:20" ht="51.75" customHeight="1" thickBot="1">
      <c r="B25" s="271"/>
      <c r="C25" s="269"/>
      <c r="D25" s="116" t="s">
        <v>244</v>
      </c>
      <c r="E25" s="115" t="s">
        <v>252</v>
      </c>
      <c r="F25" s="117" t="s">
        <v>240</v>
      </c>
      <c r="G25" s="15"/>
      <c r="H25" s="15"/>
      <c r="I25" s="15"/>
      <c r="J25" s="15"/>
    </row>
    <row r="26" spans="2:20" ht="51.75" customHeight="1" thickBot="1">
      <c r="B26" s="131" t="s">
        <v>253</v>
      </c>
      <c r="C26" s="118" t="s">
        <v>254</v>
      </c>
      <c r="D26" s="128" t="s">
        <v>240</v>
      </c>
      <c r="E26" s="129" t="s">
        <v>255</v>
      </c>
      <c r="F26" s="130" t="s">
        <v>240</v>
      </c>
      <c r="G26" s="15"/>
      <c r="H26" s="15"/>
      <c r="I26" s="15"/>
      <c r="J26" s="15"/>
    </row>
    <row r="27" spans="2:20" ht="51.75" customHeight="1">
      <c r="B27" s="270" t="s">
        <v>232</v>
      </c>
      <c r="C27" s="268" t="s">
        <v>256</v>
      </c>
      <c r="D27" s="124" t="s">
        <v>240</v>
      </c>
      <c r="E27" s="125" t="s">
        <v>257</v>
      </c>
      <c r="F27" s="126" t="s">
        <v>240</v>
      </c>
      <c r="G27" s="15"/>
      <c r="H27" s="15"/>
      <c r="I27" s="15"/>
      <c r="J27" s="15"/>
    </row>
    <row r="28" spans="2:20" ht="51.75" customHeight="1" thickBot="1">
      <c r="B28" s="271"/>
      <c r="C28" s="269"/>
      <c r="D28" s="116" t="s">
        <v>249</v>
      </c>
      <c r="E28" s="127" t="s">
        <v>258</v>
      </c>
      <c r="F28" s="117" t="s">
        <v>259</v>
      </c>
      <c r="G28" s="15"/>
      <c r="H28" s="15"/>
      <c r="I28" s="15"/>
      <c r="J28" s="15"/>
    </row>
    <row r="29" spans="2:20" ht="51.75" customHeight="1">
      <c r="B29" s="270" t="s">
        <v>260</v>
      </c>
      <c r="C29" s="268" t="s">
        <v>261</v>
      </c>
      <c r="D29" s="124" t="s">
        <v>244</v>
      </c>
      <c r="E29" s="113" t="s">
        <v>262</v>
      </c>
      <c r="F29" s="126" t="s">
        <v>263</v>
      </c>
      <c r="G29" s="15"/>
      <c r="H29" s="15"/>
      <c r="I29" s="15"/>
      <c r="J29" s="15"/>
    </row>
    <row r="30" spans="2:20" ht="51.75" customHeight="1" thickBot="1">
      <c r="B30" s="271"/>
      <c r="C30" s="269"/>
      <c r="D30" s="116" t="s">
        <v>253</v>
      </c>
      <c r="E30" s="115" t="s">
        <v>264</v>
      </c>
      <c r="F30" s="117" t="s">
        <v>240</v>
      </c>
      <c r="G30" s="15"/>
      <c r="H30" s="15"/>
      <c r="I30" s="15"/>
      <c r="J30" s="15"/>
    </row>
  </sheetData>
  <mergeCells count="29"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Roxana Castaño</cp:lastModifiedBy>
  <dcterms:created xsi:type="dcterms:W3CDTF">2015-06-05T18:17:20Z</dcterms:created>
  <dcterms:modified xsi:type="dcterms:W3CDTF">2026-08-17T00:10:28Z</dcterms:modified>
</cp:coreProperties>
</file>